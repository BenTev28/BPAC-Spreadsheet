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 activeTab="3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Utility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<sst xmlns="http://schemas.openxmlformats.org/spreadsheetml/2006/main" count="329" uniqueCount="116">
  <si>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</si>
  <si>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</si>
  <si>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</si>
  <si>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</si>
  <si>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</si>
  <si>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</si>
  <si>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</si>
  <si>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</si>
  <si>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</si>
  <si>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</si>
  <si>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</si>
  <si>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</si>
  <si>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</si>
  <si>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</si>
  <si>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</si>
  <si>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</si>
  <si>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</si>
  <si>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</si>
  <si>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</si>
  <si>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</si>
  <si>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</si>
  <si>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</si>
  <si>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</si>
  <si>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</si>
  <si>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</si>
  <si>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</si>
  <si>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</si>
  <si>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</si>
  <si>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</si>
  <si>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</si>
  <si>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</si>
  <si>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</si>
  <si>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</si>
  <si>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</si>
  <si>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</si>
  <si>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</si>
  <si>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</si>
  <si>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</si>
  <si>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</si>
  <si>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</si>
  <si>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</si>
  <si>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</si>
  <si>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</si>
  <si>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</si>
  <si>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</si>
  <si>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</si>
  <si>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</si>
  <si>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</si>
  <si>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</si>
  <si>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</si>
  <si>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</si>
  <si>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</si>
  <si>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</si>
  <si>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</si>
  <si>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</si>
  <si>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</si>
  <si>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</si>
  <si>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</si>
  <si>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</si>
  <si>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</si>
  <si>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</si>
  <si>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</si>
  <si>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</si>
  <si>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</si>
  <si>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</si>
  <si>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</si>
  <si>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</si>
  <si>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</si>
  <si>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</si>
  <si>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</si>
  <si>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</si>
  <si>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</si>
  <si>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</si>
  <si>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</si>
  <si>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</si>
  <si>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</si>
  <si>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</si>
  <si>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</si>
  <si>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Column1</t>
  </si>
  <si>
    <t>Venue</t>
  </si>
  <si>
    <t>Total</t>
  </si>
  <si>
    <t>Billing Option</t>
  </si>
  <si>
    <t>Adjustment</t>
  </si>
  <si>
    <t>Column2</t>
  </si>
  <si>
    <t>Column3</t>
  </si>
  <si>
    <t>Column4</t>
  </si>
  <si>
    <t>Baruch Costs (6%)</t>
  </si>
  <si>
    <t>Overhead (20%)</t>
  </si>
  <si>
    <t>NFP Discout (-15%)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</si>
  <si>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</si>
  <si>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</si>
  <si>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</si>
  <si>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</si>
  <si>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</si>
  <si>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</si>
  <si>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</si>
  <si>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</si>
  <si>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</si>
  <si>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</si>
  <si>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</si>
  <si>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</si>
  <si>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</si>
  <si>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</si>
  <si>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</si>
  <si>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</si>
  <si>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</si>
  <si>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</si>
  <si>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</si>
  <si>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</si>
  <si>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</si>
  <si>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</si>
  <si>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</si>
  <si>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</si>
  <si>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</si>
  <si>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</si>
  <si>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Profit(20%)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</si>
</sst>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1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3" formatCode="h:mm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19" dataCellStyle="Currency"/>
    <tableColumn id="4" name="StartDate" dataDxfId="18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7" totalsRowDxfId="2"/>
    <tableColumn id="2" name="Item"/>
    <tableColumn id="3" name="Quantity"/>
    <tableColumn id="4" name="Hours"/>
    <tableColumn id="5" name="Cost" totalsRowFunction="sum" totalsRowDxfId="1" dataCellStyle="Currency"/>
    <tableColumn id="7" name="Category" dataDxfId="16" totalsRowDxfId="0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5" dataCellStyle="Currency"/>
    <tableColumn id="2" name="Column1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18">
    <sortCondition ref="D2:D18"/>
    <sortCondition ref="E2:E18"/>
  </sortState>
  <tableColumns count="4">
    <tableColumn id="1" name="Date"/>
    <tableColumn id="2" name="Start Time"/>
    <tableColumn id="3" name="End Time" dataDxfId="14"/>
    <tableColumn id="4" name="Event Item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3" dataCellStyle="Currency"/>
    <tableColumn id="3" name="Frequency" dataDxfId="12" dataCellStyle="Currency"/>
    <tableColumn id="5" name="Category" dataDxfId="11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10" dataCellStyle="Currency"/>
    <tableColumn id="4" name="Category" dataDxfId="9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8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5" dataCellStyle="Currency"/>
    <tableColumn id="4" name="Category" dataDxfId="4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3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5" sqref="H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A2" sqref="A2:XFD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81</v>
      </c>
      <c r="J1" t="s">
        <v>106</v>
      </c>
      <c r="K1" t="s">
        <v>107</v>
      </c>
      <c r="L1" t="s">
        <v>109</v>
      </c>
      <c r="M1" t="s">
        <v>110</v>
      </c>
      <c r="N1" t="s">
        <v>108</v>
      </c>
      <c r="O1" t="s">
        <v>111</v>
      </c>
      <c r="P1" t="s">
        <v>112</v>
      </c>
      <c r="Q1" t="s">
        <v>113</v>
      </c>
    </row>
    <row r="2" spans="1:17" x14ac:dyDescent="0.25">
      <c r="I2" t="s">
        <v>114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tabSelected="1" workbookViewId="0">
      <selection activeCell="N6" sqref="N6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4.42578125" style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79</v>
      </c>
      <c r="C1" t="s">
        <v>75</v>
      </c>
      <c r="D1" t="s">
        <v>76</v>
      </c>
      <c r="E1" t="s">
        <v>77</v>
      </c>
      <c r="F1" s="1" t="s">
        <v>39</v>
      </c>
      <c r="G1" s="1" t="s">
        <v>98</v>
      </c>
      <c r="I1" s="1" t="s">
        <v>82</v>
      </c>
      <c r="J1" t="s">
        <v>78</v>
      </c>
      <c r="K1" t="s">
        <v>83</v>
      </c>
      <c r="L1" t="s">
        <v>84</v>
      </c>
      <c r="M1" t="s">
        <v>85</v>
      </c>
      <c r="N1" s="1" t="s">
        <v>89</v>
      </c>
      <c r="O1"/>
    </row>
    <row r="2" spans="1:22" x14ac:dyDescent="0.25">
      <c r="B2" s="2"/>
      <c r="G2" s="7"/>
      <c r="I2" s="1" t="s">
        <v>86</v>
      </c>
      <c r="N2" s="1">
        <v>0</v>
      </c>
      <c r="O2"/>
    </row>
    <row r="3" spans="1:22" x14ac:dyDescent="0.25">
      <c r="A3" t="s">
        <v>80</v>
      </c>
      <c r="B3" s="2"/>
      <c r="F3" s="8">
        <f>SUBTOTAL(109,costItems[Cost])</f>
        <v>0</v>
      </c>
      <c r="G3" s="8"/>
      <c r="I3" s="7" t="s">
        <v>87</v>
      </c>
      <c r="N3" s="1">
        <v>0</v>
      </c>
      <c r="O3"/>
    </row>
    <row r="4" spans="1:22" x14ac:dyDescent="0.25">
      <c r="A4" s="2"/>
      <c r="B4" s="2"/>
      <c r="I4" s="7" t="s">
        <v>115</v>
      </c>
      <c r="N4" s="1">
        <v>0</v>
      </c>
      <c r="O4"/>
    </row>
    <row r="5" spans="1:22" x14ac:dyDescent="0.25">
      <c r="A5" s="2"/>
      <c r="B5" s="2"/>
      <c r="H5" s="6"/>
      <c r="I5" s="7" t="s">
        <v>88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G13" sqref="G1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90</v>
      </c>
      <c r="F2" t="s">
        <v>91</v>
      </c>
      <c r="G2" t="s">
        <v>92</v>
      </c>
    </row>
    <row r="3" spans="2:7" x14ac:dyDescent="0.25">
      <c r="B3" s="2"/>
      <c r="D3" s="2"/>
      <c r="E3" s="9"/>
      <c r="F3" s="11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3" t="s">
        <v>51</v>
      </c>
      <c r="B1" s="13"/>
      <c r="C1" s="4"/>
      <c r="D1" s="12"/>
      <c r="F1" s="13" t="s">
        <v>56</v>
      </c>
      <c r="G1" s="13"/>
      <c r="H1" s="4"/>
      <c r="I1" s="12"/>
      <c r="K1" s="13" t="s">
        <v>66</v>
      </c>
      <c r="L1" s="13"/>
    </row>
    <row r="2" spans="1:15" x14ac:dyDescent="0.25">
      <c r="A2" t="s">
        <v>38</v>
      </c>
      <c r="B2" t="s">
        <v>39</v>
      </c>
      <c r="C2" t="s">
        <v>70</v>
      </c>
      <c r="D2" t="s">
        <v>98</v>
      </c>
      <c r="F2" t="s">
        <v>38</v>
      </c>
      <c r="G2" t="s">
        <v>39</v>
      </c>
      <c r="H2" t="s">
        <v>70</v>
      </c>
      <c r="I2" t="s">
        <v>98</v>
      </c>
      <c r="K2" t="s">
        <v>38</v>
      </c>
      <c r="L2" t="s">
        <v>39</v>
      </c>
      <c r="M2" t="s">
        <v>70</v>
      </c>
      <c r="N2" t="s">
        <v>98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99</v>
      </c>
      <c r="E3" s="1"/>
      <c r="F3" s="3" t="s">
        <v>40</v>
      </c>
      <c r="G3" s="1">
        <v>25.41</v>
      </c>
      <c r="H3" s="1" t="s">
        <v>71</v>
      </c>
      <c r="I3" s="1" t="s">
        <v>99</v>
      </c>
      <c r="K3" t="s">
        <v>40</v>
      </c>
      <c r="L3" s="1">
        <v>25.41</v>
      </c>
      <c r="M3" t="s">
        <v>71</v>
      </c>
      <c r="N3" t="s">
        <v>99</v>
      </c>
    </row>
    <row r="4" spans="1:15" x14ac:dyDescent="0.25">
      <c r="A4" t="s">
        <v>97</v>
      </c>
      <c r="B4" s="1">
        <v>45</v>
      </c>
      <c r="C4" s="1" t="s">
        <v>71</v>
      </c>
      <c r="D4" s="1" t="s">
        <v>99</v>
      </c>
      <c r="E4" s="1"/>
      <c r="F4" s="3" t="s">
        <v>97</v>
      </c>
      <c r="G4" s="1">
        <v>45</v>
      </c>
      <c r="H4" s="1" t="s">
        <v>71</v>
      </c>
      <c r="I4" s="1" t="s">
        <v>99</v>
      </c>
      <c r="K4" t="s">
        <v>41</v>
      </c>
      <c r="L4" s="1">
        <v>22.42</v>
      </c>
      <c r="M4" t="s">
        <v>71</v>
      </c>
      <c r="N4" t="s">
        <v>100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100</v>
      </c>
      <c r="E5" s="1"/>
      <c r="F5" s="3" t="s">
        <v>41</v>
      </c>
      <c r="G5" s="1">
        <v>22.42</v>
      </c>
      <c r="H5" s="1" t="s">
        <v>71</v>
      </c>
      <c r="I5" s="1" t="s">
        <v>100</v>
      </c>
      <c r="K5" t="s">
        <v>42</v>
      </c>
      <c r="L5" s="1">
        <v>14.16</v>
      </c>
      <c r="M5" t="s">
        <v>71</v>
      </c>
      <c r="N5" t="s">
        <v>100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100</v>
      </c>
      <c r="E6" s="1"/>
      <c r="F6" s="3" t="s">
        <v>42</v>
      </c>
      <c r="G6" s="1">
        <v>14.16</v>
      </c>
      <c r="H6" s="1" t="s">
        <v>71</v>
      </c>
      <c r="I6" s="1" t="s">
        <v>100</v>
      </c>
      <c r="K6" t="s">
        <v>94</v>
      </c>
      <c r="L6" s="1">
        <v>5</v>
      </c>
      <c r="M6" t="s">
        <v>71</v>
      </c>
      <c r="N6" t="s">
        <v>100</v>
      </c>
      <c r="O6" s="2"/>
    </row>
    <row r="7" spans="1:15" x14ac:dyDescent="0.25">
      <c r="A7" t="s">
        <v>94</v>
      </c>
      <c r="B7" s="1">
        <v>5</v>
      </c>
      <c r="C7" s="1" t="s">
        <v>71</v>
      </c>
      <c r="D7" s="1" t="s">
        <v>100</v>
      </c>
      <c r="E7" s="1"/>
      <c r="F7" s="10" t="s">
        <v>94</v>
      </c>
      <c r="G7" s="1">
        <v>5</v>
      </c>
      <c r="H7" s="1" t="s">
        <v>71</v>
      </c>
      <c r="I7" s="1" t="s">
        <v>100</v>
      </c>
      <c r="K7" t="s">
        <v>43</v>
      </c>
      <c r="L7" s="1">
        <v>100</v>
      </c>
      <c r="M7" t="s">
        <v>72</v>
      </c>
      <c r="N7" t="s">
        <v>101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101</v>
      </c>
      <c r="E8" s="1"/>
      <c r="F8" s="5" t="s">
        <v>45</v>
      </c>
      <c r="G8" s="1">
        <v>320</v>
      </c>
      <c r="H8" s="1" t="s">
        <v>73</v>
      </c>
      <c r="I8" s="1" t="s">
        <v>99</v>
      </c>
      <c r="K8" t="s">
        <v>44</v>
      </c>
      <c r="L8" s="1">
        <v>100</v>
      </c>
      <c r="M8" t="s">
        <v>72</v>
      </c>
      <c r="N8" t="s">
        <v>102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102</v>
      </c>
      <c r="E9" s="1"/>
      <c r="F9" s="5" t="s">
        <v>57</v>
      </c>
      <c r="G9" s="1">
        <v>45</v>
      </c>
      <c r="H9" s="1" t="s">
        <v>71</v>
      </c>
      <c r="I9" s="1" t="s">
        <v>103</v>
      </c>
      <c r="K9" t="s">
        <v>93</v>
      </c>
      <c r="L9" s="1">
        <v>150</v>
      </c>
      <c r="M9" t="s">
        <v>71</v>
      </c>
      <c r="N9" t="s">
        <v>104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99</v>
      </c>
      <c r="E10" s="1"/>
      <c r="F10" s="5" t="s">
        <v>58</v>
      </c>
      <c r="G10" s="1">
        <v>31.34</v>
      </c>
      <c r="H10" s="1" t="s">
        <v>71</v>
      </c>
      <c r="I10" s="1" t="s">
        <v>103</v>
      </c>
      <c r="K10" s="13" t="s">
        <v>67</v>
      </c>
      <c r="L10" s="13"/>
    </row>
    <row r="11" spans="1:15" x14ac:dyDescent="0.25">
      <c r="A11" t="s">
        <v>46</v>
      </c>
      <c r="B11" s="1">
        <v>250</v>
      </c>
      <c r="C11" s="1" t="s">
        <v>73</v>
      </c>
      <c r="D11" s="1" t="s">
        <v>99</v>
      </c>
      <c r="E11" s="1"/>
      <c r="F11" s="5" t="s">
        <v>59</v>
      </c>
      <c r="G11" s="1">
        <v>73.819999999999993</v>
      </c>
      <c r="H11" s="1" t="s">
        <v>71</v>
      </c>
      <c r="I11" s="1" t="s">
        <v>103</v>
      </c>
      <c r="K11" t="s">
        <v>38</v>
      </c>
      <c r="L11" t="s">
        <v>39</v>
      </c>
      <c r="M11" t="s">
        <v>70</v>
      </c>
      <c r="N11" t="s">
        <v>98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99</v>
      </c>
      <c r="E12" s="1"/>
      <c r="F12" s="5" t="s">
        <v>46</v>
      </c>
      <c r="G12" s="1">
        <v>250</v>
      </c>
      <c r="H12" s="1" t="s">
        <v>73</v>
      </c>
      <c r="I12" s="1" t="s">
        <v>99</v>
      </c>
      <c r="K12" t="s">
        <v>40</v>
      </c>
      <c r="L12" s="1">
        <v>25.41</v>
      </c>
      <c r="M12" t="s">
        <v>71</v>
      </c>
      <c r="N12" t="s">
        <v>99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99</v>
      </c>
      <c r="E13" s="1"/>
      <c r="F13" s="5" t="s">
        <v>47</v>
      </c>
      <c r="G13" s="1">
        <v>120</v>
      </c>
      <c r="H13" s="1" t="s">
        <v>73</v>
      </c>
      <c r="I13" s="1" t="s">
        <v>99</v>
      </c>
      <c r="K13" t="s">
        <v>41</v>
      </c>
      <c r="L13" s="1">
        <v>22.42</v>
      </c>
      <c r="M13" t="s">
        <v>71</v>
      </c>
      <c r="N13" t="s">
        <v>100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99</v>
      </c>
      <c r="E14" s="1"/>
      <c r="F14" s="5" t="s">
        <v>48</v>
      </c>
      <c r="G14" s="1">
        <v>400</v>
      </c>
      <c r="H14" s="1" t="s">
        <v>73</v>
      </c>
      <c r="I14" s="1" t="s">
        <v>99</v>
      </c>
      <c r="K14" t="s">
        <v>42</v>
      </c>
      <c r="L14" s="1">
        <v>14.16</v>
      </c>
      <c r="M14" t="s">
        <v>71</v>
      </c>
      <c r="N14" t="s">
        <v>100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99</v>
      </c>
      <c r="E15" s="1"/>
      <c r="F15" s="5" t="s">
        <v>95</v>
      </c>
      <c r="G15" s="1">
        <v>75</v>
      </c>
      <c r="H15" s="1" t="s">
        <v>73</v>
      </c>
      <c r="I15" s="1" t="s">
        <v>99</v>
      </c>
      <c r="K15" t="s">
        <v>94</v>
      </c>
      <c r="L15" s="1">
        <v>5</v>
      </c>
      <c r="M15" t="s">
        <v>71</v>
      </c>
      <c r="N15" t="s">
        <v>100</v>
      </c>
    </row>
    <row r="16" spans="1:15" x14ac:dyDescent="0.25">
      <c r="F16" s="5" t="s">
        <v>96</v>
      </c>
      <c r="G16" s="1">
        <v>25</v>
      </c>
      <c r="H16" s="1" t="s">
        <v>73</v>
      </c>
      <c r="I16" s="1" t="s">
        <v>99</v>
      </c>
      <c r="K16" t="s">
        <v>43</v>
      </c>
      <c r="L16" s="1">
        <v>100</v>
      </c>
      <c r="M16" t="s">
        <v>72</v>
      </c>
      <c r="N16" t="s">
        <v>101</v>
      </c>
    </row>
    <row r="17" spans="1:14" x14ac:dyDescent="0.25">
      <c r="A17" s="13" t="s">
        <v>52</v>
      </c>
      <c r="B17" s="13"/>
      <c r="C17" s="4"/>
      <c r="D17" s="12"/>
      <c r="F17" s="5" t="s">
        <v>43</v>
      </c>
      <c r="G17" s="1">
        <v>100</v>
      </c>
      <c r="H17" s="1" t="s">
        <v>72</v>
      </c>
      <c r="I17" s="1" t="s">
        <v>101</v>
      </c>
      <c r="K17" t="s">
        <v>93</v>
      </c>
      <c r="L17" s="7">
        <v>35</v>
      </c>
      <c r="M17" t="s">
        <v>71</v>
      </c>
      <c r="N17" t="s">
        <v>104</v>
      </c>
    </row>
    <row r="18" spans="1:14" x14ac:dyDescent="0.25">
      <c r="A18" t="s">
        <v>38</v>
      </c>
      <c r="B18" t="s">
        <v>39</v>
      </c>
      <c r="C18" t="s">
        <v>70</v>
      </c>
      <c r="D18" t="s">
        <v>98</v>
      </c>
      <c r="F18" s="5" t="s">
        <v>63</v>
      </c>
      <c r="G18" s="1">
        <f>(600*0.8)</f>
        <v>480</v>
      </c>
      <c r="H18" s="1" t="s">
        <v>72</v>
      </c>
      <c r="I18" s="1" t="s">
        <v>102</v>
      </c>
      <c r="K18" s="13" t="s">
        <v>68</v>
      </c>
      <c r="L18" s="13"/>
    </row>
    <row r="19" spans="1:14" x14ac:dyDescent="0.25">
      <c r="A19" t="s">
        <v>40</v>
      </c>
      <c r="B19" s="1">
        <v>25.41</v>
      </c>
      <c r="C19" s="1" t="s">
        <v>71</v>
      </c>
      <c r="D19" s="1" t="s">
        <v>99</v>
      </c>
      <c r="F19" s="5" t="s">
        <v>60</v>
      </c>
      <c r="G19" s="1">
        <v>14.16</v>
      </c>
      <c r="H19" s="1" t="s">
        <v>71</v>
      </c>
      <c r="I19" s="1" t="s">
        <v>100</v>
      </c>
      <c r="K19" t="s">
        <v>38</v>
      </c>
      <c r="L19" t="s">
        <v>39</v>
      </c>
      <c r="M19" t="s">
        <v>70</v>
      </c>
      <c r="N19" t="s">
        <v>98</v>
      </c>
    </row>
    <row r="20" spans="1:14" x14ac:dyDescent="0.25">
      <c r="A20" t="s">
        <v>97</v>
      </c>
      <c r="B20" s="1">
        <v>45</v>
      </c>
      <c r="C20" s="1" t="s">
        <v>71</v>
      </c>
      <c r="D20" s="1" t="s">
        <v>99</v>
      </c>
      <c r="F20" s="5" t="s">
        <v>61</v>
      </c>
      <c r="G20" s="1">
        <v>45</v>
      </c>
      <c r="H20" s="1" t="s">
        <v>71</v>
      </c>
      <c r="I20" s="1" t="s">
        <v>103</v>
      </c>
      <c r="K20" t="s">
        <v>105</v>
      </c>
      <c r="L20" s="1">
        <v>21.42</v>
      </c>
      <c r="M20" t="s">
        <v>71</v>
      </c>
      <c r="N20" t="s">
        <v>100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100</v>
      </c>
      <c r="F21" s="5" t="s">
        <v>62</v>
      </c>
      <c r="G21" s="1">
        <v>31.34</v>
      </c>
      <c r="H21" s="1" t="s">
        <v>71</v>
      </c>
      <c r="I21" s="1" t="s">
        <v>103</v>
      </c>
      <c r="K21" t="s">
        <v>42</v>
      </c>
      <c r="L21" s="1">
        <v>14.16</v>
      </c>
      <c r="M21" t="s">
        <v>71</v>
      </c>
      <c r="N21" t="s">
        <v>100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100</v>
      </c>
      <c r="F22" s="5" t="s">
        <v>64</v>
      </c>
      <c r="G22" s="1">
        <f>(500*0.8)</f>
        <v>400</v>
      </c>
      <c r="H22" s="1" t="s">
        <v>71</v>
      </c>
      <c r="I22" s="1" t="s">
        <v>102</v>
      </c>
      <c r="K22" t="s">
        <v>94</v>
      </c>
      <c r="L22" s="1">
        <v>5</v>
      </c>
      <c r="M22" t="s">
        <v>71</v>
      </c>
      <c r="N22" t="s">
        <v>100</v>
      </c>
    </row>
    <row r="23" spans="1:14" x14ac:dyDescent="0.25">
      <c r="A23" t="s">
        <v>94</v>
      </c>
      <c r="B23" s="1">
        <v>5</v>
      </c>
      <c r="C23" s="1" t="s">
        <v>71</v>
      </c>
      <c r="D23" s="1" t="s">
        <v>100</v>
      </c>
      <c r="K23" t="s">
        <v>93</v>
      </c>
      <c r="L23" s="1">
        <v>10</v>
      </c>
      <c r="M23" t="s">
        <v>71</v>
      </c>
      <c r="N23" t="s">
        <v>104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101</v>
      </c>
      <c r="F24" s="13" t="s">
        <v>65</v>
      </c>
      <c r="G24" s="13"/>
      <c r="H24" s="4"/>
      <c r="I24" s="12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102</v>
      </c>
      <c r="F25" t="s">
        <v>38</v>
      </c>
      <c r="G25" t="s">
        <v>39</v>
      </c>
      <c r="H25" t="s">
        <v>70</v>
      </c>
      <c r="I25" t="s">
        <v>98</v>
      </c>
      <c r="K25" s="13" t="s">
        <v>69</v>
      </c>
      <c r="L25" s="13"/>
    </row>
    <row r="26" spans="1:14" x14ac:dyDescent="0.25">
      <c r="A26" t="s">
        <v>45</v>
      </c>
      <c r="B26" s="1">
        <v>320</v>
      </c>
      <c r="C26" s="1" t="s">
        <v>73</v>
      </c>
      <c r="D26" s="1" t="s">
        <v>99</v>
      </c>
      <c r="F26" t="s">
        <v>40</v>
      </c>
      <c r="G26" s="1">
        <v>25.41</v>
      </c>
      <c r="H26" s="1" t="s">
        <v>71</v>
      </c>
      <c r="I26" s="1" t="s">
        <v>99</v>
      </c>
      <c r="K26" t="s">
        <v>38</v>
      </c>
      <c r="L26" t="s">
        <v>39</v>
      </c>
      <c r="M26" t="s">
        <v>70</v>
      </c>
      <c r="N26" t="s">
        <v>98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99</v>
      </c>
      <c r="F27" t="s">
        <v>41</v>
      </c>
      <c r="G27" s="1">
        <v>22.42</v>
      </c>
      <c r="H27" s="1" t="s">
        <v>71</v>
      </c>
      <c r="I27" s="1" t="s">
        <v>99</v>
      </c>
      <c r="K27" t="s">
        <v>105</v>
      </c>
      <c r="L27" s="1">
        <v>21.42</v>
      </c>
      <c r="M27" t="s">
        <v>71</v>
      </c>
      <c r="N27" t="s">
        <v>100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99</v>
      </c>
      <c r="F28" t="s">
        <v>42</v>
      </c>
      <c r="G28" s="1">
        <v>14.16</v>
      </c>
      <c r="H28" s="1" t="s">
        <v>71</v>
      </c>
      <c r="I28" s="1" t="s">
        <v>100</v>
      </c>
      <c r="K28" t="s">
        <v>42</v>
      </c>
      <c r="L28" s="1">
        <v>14.16</v>
      </c>
      <c r="M28" t="s">
        <v>71</v>
      </c>
      <c r="N28" t="s">
        <v>100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99</v>
      </c>
      <c r="F29" t="s">
        <v>94</v>
      </c>
      <c r="G29" s="1">
        <v>5</v>
      </c>
      <c r="H29" s="1" t="s">
        <v>71</v>
      </c>
      <c r="I29" s="1" t="s">
        <v>100</v>
      </c>
      <c r="K29" t="s">
        <v>94</v>
      </c>
      <c r="L29" s="1">
        <v>5</v>
      </c>
      <c r="M29" t="s">
        <v>71</v>
      </c>
      <c r="N29" t="s">
        <v>100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99</v>
      </c>
      <c r="F30" t="s">
        <v>43</v>
      </c>
      <c r="G30" s="1">
        <v>100</v>
      </c>
      <c r="H30" s="1" t="s">
        <v>72</v>
      </c>
      <c r="I30" s="1" t="s">
        <v>101</v>
      </c>
      <c r="K30" t="s">
        <v>93</v>
      </c>
      <c r="L30" s="1">
        <v>25</v>
      </c>
      <c r="M30" t="s">
        <v>71</v>
      </c>
      <c r="N30" t="s">
        <v>104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99</v>
      </c>
      <c r="F31" t="s">
        <v>44</v>
      </c>
      <c r="G31" s="1">
        <f>(75*0.8)</f>
        <v>60</v>
      </c>
      <c r="H31" s="1" t="s">
        <v>72</v>
      </c>
      <c r="I31" s="1" t="s">
        <v>102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Venues</vt:lpstr>
      <vt:lpstr>OverviewSheet</vt:lpstr>
      <vt:lpstr>Event Costs</vt:lpstr>
      <vt:lpstr>Schedule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2014-10-17T20:21:01Z</dcterms:modified>
</cp:coreProperties>
</file>