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rinterSettings/printerSettings1.bin" ContentType="application/vnd.openxmlformats-officedocument.spreadsheetml.printerSettings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Repos\BPAC-Spreadsheet\"/>
    </mc:Choice>
  </mc:AlternateContent>
  <bookViews>
    <workbookView xWindow="0" yWindow="0" windowWidth="24000" windowHeight="9735"/>
  </bookViews>
  <sheets>
    <sheet name="Main" sheetId="1" r:id="rId1"/>
    <sheet name="Venues" sheetId="2" r:id="rId2"/>
    <sheet name="OverviewSheet" sheetId="3" r:id="rId3"/>
    <sheet name="Event Costs" sheetId="5" r:id="rId4"/>
    <sheet name="Schedule" sheetId="7" r:id="rId5"/>
    <sheet name="Post-Mortem" sheetId="8" r:id="rId6"/>
    <sheet name="Utility" sheetId="4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5" l="1"/>
  <c r="G31" i="4" l="1"/>
  <c r="B25" i="4"/>
  <c r="G22" i="4"/>
  <c r="G18" i="4"/>
  <c r="B9" i="4"/>
</calcChain>
</file>

<file path=xl/sharedStrings.xml><?xml version="1.0" encoding="utf-8"?>
<sst xmlns="http://schemas.openxmlformats.org/spreadsheetml/2006/main" count="329" uniqueCount="116">
  <si>
    <t>Venue Name</t>
  </si>
  <si>
    <t>Venue Abbr</t>
  </si>
  <si>
    <t>Engleman Recital Hall</t>
  </si>
  <si>
    <t>Nagleberg Theater</t>
  </si>
  <si>
    <t>Mason Hall</t>
  </si>
  <si>
    <t>Bernie West</t>
  </si>
  <si>
    <t>Rehearsal Studio</t>
  </si>
  <si>
    <t>B3 Lobby</t>
  </si>
  <si>
    <t>B2 Lobby</t>
  </si>
  <si>
    <t>Skylight Room</t>
  </si>
  <si>
    <t>Company Name</t>
  </si>
  <si>
    <t>Event Name</t>
  </si>
  <si>
    <t>Primary Contact Name</t>
  </si>
  <si>
    <t>Primary Contact Email</t>
  </si>
  <si>
    <t>Secondary Contact Name</t>
  </si>
  <si>
    <t>Secondary Contact Phone</t>
  </si>
  <si>
    <t>Secondary Contact Email</t>
  </si>
  <si>
    <t>In Use</t>
  </si>
  <si>
    <t>StartDate</t>
  </si>
  <si>
    <t>EndDate</t>
  </si>
  <si>
    <t>CheckBox</t>
  </si>
  <si>
    <t>useERH</t>
  </si>
  <si>
    <t>useNT</t>
  </si>
  <si>
    <t>useMH</t>
  </si>
  <si>
    <t>useBW</t>
  </si>
  <si>
    <t>useRS</t>
  </si>
  <si>
    <t>useB2</t>
  </si>
  <si>
    <t>useB3</t>
  </si>
  <si>
    <t>useSR</t>
  </si>
  <si>
    <t>erh</t>
  </si>
  <si>
    <t>nt</t>
  </si>
  <si>
    <t>mh</t>
  </si>
  <si>
    <t>bw</t>
  </si>
  <si>
    <t>rs</t>
  </si>
  <si>
    <t>b2</t>
  </si>
  <si>
    <t>b3</t>
  </si>
  <si>
    <t>sr</t>
  </si>
  <si>
    <t>Primary Contact Phone</t>
  </si>
  <si>
    <t>Item/Svc</t>
  </si>
  <si>
    <t>Cost</t>
  </si>
  <si>
    <t>VM</t>
  </si>
  <si>
    <t>HM</t>
  </si>
  <si>
    <t>Usher</t>
  </si>
  <si>
    <t>Marketing Fee</t>
  </si>
  <si>
    <t>Box Office Fee</t>
  </si>
  <si>
    <t>Electrical Tie-In</t>
  </si>
  <si>
    <t>Piano</t>
  </si>
  <si>
    <t>Add'l Piano Tunings</t>
  </si>
  <si>
    <t>Tech Package A</t>
  </si>
  <si>
    <t>Tech Package B</t>
  </si>
  <si>
    <t>Choral Risers</t>
  </si>
  <si>
    <t>ERH Cost Table</t>
  </si>
  <si>
    <t>NT Cost Table</t>
  </si>
  <si>
    <t>Projector</t>
  </si>
  <si>
    <t>Screen</t>
  </si>
  <si>
    <t>Marley</t>
  </si>
  <si>
    <t>MH Cost Table</t>
  </si>
  <si>
    <t>Public Safety</t>
  </si>
  <si>
    <t>Custodial</t>
  </si>
  <si>
    <t>Engineering</t>
  </si>
  <si>
    <t>Balcony Ushers</t>
  </si>
  <si>
    <t>Balcony Public Safety</t>
  </si>
  <si>
    <t>Balcony Custodial</t>
  </si>
  <si>
    <t>Box Office</t>
  </si>
  <si>
    <t>Balcony Box Office</t>
  </si>
  <si>
    <t>BW Cost Table</t>
  </si>
  <si>
    <t>SR Cost Table</t>
  </si>
  <si>
    <t>RS Cost Table</t>
  </si>
  <si>
    <t>B2 Cost Table</t>
  </si>
  <si>
    <t>B3 Cost Table</t>
  </si>
  <si>
    <t>Frequency</t>
  </si>
  <si>
    <t>Hourly</t>
  </si>
  <si>
    <t>Once</t>
  </si>
  <si>
    <t>Daily</t>
  </si>
  <si>
    <t>Date</t>
  </si>
  <si>
    <t>Item</t>
  </si>
  <si>
    <t>Quantity</t>
  </si>
  <si>
    <t>Hours</t>
  </si>
  <si>
    <t>Venue</t>
  </si>
  <si>
    <t>Total</t>
  </si>
  <si>
    <t>Billing Option</t>
  </si>
  <si>
    <t>Adjustment</t>
  </si>
  <si>
    <t>Column2</t>
  </si>
  <si>
    <t>Column3</t>
  </si>
  <si>
    <t>Column4</t>
  </si>
  <si>
    <t>Value</t>
  </si>
  <si>
    <t>Start Time</t>
  </si>
  <si>
    <t>End Time</t>
  </si>
  <si>
    <t>Event Item</t>
  </si>
  <si>
    <t>Base Cost</t>
  </si>
  <si>
    <t>WS</t>
  </si>
  <si>
    <t>Marley Install</t>
  </si>
  <si>
    <t>Marley Rental</t>
  </si>
  <si>
    <t>Operator</t>
  </si>
  <si>
    <t>Category</t>
  </si>
  <si>
    <t>TECH</t>
  </si>
  <si>
    <t>FOH</t>
  </si>
  <si>
    <t>MARKETING</t>
  </si>
  <si>
    <t>BOX OFFICE</t>
  </si>
  <si>
    <t>TECH/FOH</t>
  </si>
  <si>
    <t>GENERAL</t>
  </si>
  <si>
    <t>Concess. Manager</t>
  </si>
  <si>
    <t>Run Time</t>
  </si>
  <si>
    <t>Intermission</t>
  </si>
  <si>
    <t>Tech Notes</t>
  </si>
  <si>
    <t>Summary</t>
  </si>
  <si>
    <t>Schedule Notes</t>
  </si>
  <si>
    <t>FOH Notes</t>
  </si>
  <si>
    <t>Box Office Notes</t>
  </si>
  <si>
    <t>Marketing Notes</t>
  </si>
  <si>
    <t>NFP</t>
  </si>
  <si>
    <t>Percentage</t>
  </si>
  <si>
    <t>Baruch Costs</t>
  </si>
  <si>
    <t>Overhead</t>
  </si>
  <si>
    <t>Profit</t>
  </si>
  <si>
    <t>NFP Discout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</si>
</sst>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44" fontId="0" fillId="0" borderId="0" xfId="1" applyFont="1"/>
    <xf numFmtId="14" fontId="0" fillId="0" borderId="0" xfId="0" applyNumberFormat="1"/>
    <xf numFmtId="0" fontId="0" fillId="0" borderId="1" xfId="0" applyFont="1" applyBorder="1"/>
    <xf numFmtId="0" fontId="0" fillId="0" borderId="0" xfId="0" applyAlignment="1">
      <alignment horizontal="center"/>
    </xf>
    <xf numFmtId="0" fontId="0" fillId="0" borderId="0" xfId="0" applyFont="1" applyFill="1" applyBorder="1"/>
    <xf numFmtId="44" fontId="0" fillId="0" borderId="0" xfId="0" applyNumberFormat="1" applyFont="1"/>
    <xf numFmtId="44" fontId="2" fillId="0" borderId="0" xfId="1" applyFont="1"/>
    <xf numFmtId="44" fontId="2" fillId="0" borderId="0" xfId="0" applyNumberFormat="1" applyFont="1"/>
    <xf numFmtId="19" fontId="0" fillId="0" borderId="0" xfId="0" applyNumberFormat="1"/>
    <xf numFmtId="0" fontId="0" fillId="0" borderId="0" xfId="0" applyFont="1" applyBorder="1"/>
    <xf numFmtId="0" fontId="0" fillId="0" borderId="0" xfId="0" applyAlignment="1">
      <alignment horizontal="center"/>
    </xf>
    <xf numFmtId="9" fontId="0" fillId="0" borderId="0" xfId="2" applyFont="1"/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4" formatCode="h:mm:ss\ AM/PM"/>
    </dxf>
    <dxf>
      <numFmt numFmtId="24" formatCode="h:mm:ss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numFmt numFmtId="19" formatCode="m/d/yyyy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4</xdr:col>
          <xdr:colOff>19050</xdr:colOff>
          <xdr:row>2</xdr:row>
          <xdr:rowOff>28575</xdr:rowOff>
        </xdr:to>
        <xdr:sp macro="" textlink="">
          <xdr:nvSpPr>
            <xdr:cNvPr id="1025" name="makeEven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Venues" displayName="Venues" ref="A1:F9" totalsRowShown="0">
  <autoFilter ref="A1:F9"/>
  <tableColumns count="6">
    <tableColumn id="1" name="Venue Name"/>
    <tableColumn id="2" name="Venue Abbr"/>
    <tableColumn id="3" name="In Use" dataDxfId="20" dataCellStyle="Currency"/>
    <tableColumn id="4" name="StartDate" dataDxfId="19"/>
    <tableColumn id="5" name="EndDate"/>
    <tableColumn id="6" name="CheckBox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OverviewData" displayName="OverviewData" ref="A1:Q2" totalsRowShown="0">
  <autoFilter ref="A1:Q2"/>
  <tableColumns count="17">
    <tableColumn id="1" name="Company Name"/>
    <tableColumn id="2" name="Event Name"/>
    <tableColumn id="3" name="Primary Contact Name"/>
    <tableColumn id="4" name="Primary Contact Phone"/>
    <tableColumn id="5" name="Primary Contact Email"/>
    <tableColumn id="6" name="Secondary Contact Name"/>
    <tableColumn id="7" name="Secondary Contact Phone"/>
    <tableColumn id="8" name="Secondary Contact Email"/>
    <tableColumn id="9" name="Billing Option"/>
    <tableColumn id="10" name="Run Time"/>
    <tableColumn id="11" name="Intermission"/>
    <tableColumn id="12" name="Summary"/>
    <tableColumn id="13" name="Schedule Notes"/>
    <tableColumn id="14" name="Tech Notes"/>
    <tableColumn id="15" name="FOH Notes"/>
    <tableColumn id="16" name="Box Office Notes"/>
    <tableColumn id="17" name="Marketing Notes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2" name="costItems" displayName="costItems" ref="A1:G3" insertRow="1" totalsRowCount="1">
  <autoFilter ref="A1:G2"/>
  <tableColumns count="7">
    <tableColumn id="1" name="Date" totalsRowLabel="Total"/>
    <tableColumn id="6" name="Venue" dataDxfId="18" totalsRowDxfId="17"/>
    <tableColumn id="2" name="Item"/>
    <tableColumn id="3" name="Quantity"/>
    <tableColumn id="4" name="Hours"/>
    <tableColumn id="5" name="Cost" totalsRowFunction="sum" totalsRowDxfId="16" dataCellStyle="Currency"/>
    <tableColumn id="7" name="Category" dataDxfId="15" totalsRowDxfId="14" dataCellStyle="Currency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12" name="adjTable" displayName="adjTable" ref="I1:N5" totalsRowShown="0">
  <autoFilter ref="I1:N5"/>
  <tableColumns count="6">
    <tableColumn id="1" name="Adjustment" dataDxfId="13" dataCellStyle="Currency"/>
    <tableColumn id="2" name="Percentage" dataCellStyle="Percent"/>
    <tableColumn id="3" name="Column2"/>
    <tableColumn id="4" name="Column3"/>
    <tableColumn id="5" name="Column4"/>
    <tableColumn id="6" name="Value" dataCellStyle="Currency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4" name="eventItems" displayName="eventItems" ref="D2:G3" insertRow="1" totalsRowShown="0">
  <autoFilter ref="D2:G3"/>
  <sortState ref="D3:G3">
    <sortCondition ref="D2:D3"/>
    <sortCondition ref="E2:E3"/>
  </sortState>
  <tableColumns count="4">
    <tableColumn id="1" name="Date"/>
    <tableColumn id="2" name="Start Time"/>
    <tableColumn id="3" name="End Time" dataDxfId="12"/>
    <tableColumn id="4" name="Event Item" dataDxfId="11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4" name="erh_Items" displayName="erh_Items" ref="A2:D15" totalsRowShown="0">
  <autoFilter ref="A2:D15"/>
  <tableColumns count="4">
    <tableColumn id="1" name="Item/Svc"/>
    <tableColumn id="2" name="Cost" dataDxfId="10" dataCellStyle="Currency"/>
    <tableColumn id="3" name="Frequency" dataDxfId="9" dataCellStyle="Currency"/>
    <tableColumn id="5" name="Category" dataDxfId="8" dataCellStyle="Currency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5" name="nt_Items" displayName="nt_Items" ref="A18:D31" totalsRowShown="0">
  <autoFilter ref="A18:D31"/>
  <tableColumns count="4">
    <tableColumn id="1" name="Item/Svc"/>
    <tableColumn id="2" name="Cost" dataCellStyle="Currency"/>
    <tableColumn id="3" name="Frequency" dataDxfId="7" dataCellStyle="Currency"/>
    <tableColumn id="4" name="Category" dataDxfId="6" dataCellStyle="Currency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id="6" name="mh_Items" displayName="mh_Items" ref="F2:I22" totalsRowShown="0">
  <autoFilter ref="F2:I22"/>
  <tableColumns count="4">
    <tableColumn id="1" name="Item/Svc" dataDxfId="5"/>
    <tableColumn id="2" name="Cost" dataCellStyle="Currency"/>
    <tableColumn id="3" name="Frequency" dataDxfId="4" dataCellStyle="Currency"/>
    <tableColumn id="4" name="Category" dataDxfId="3" dataCellStyle="Currency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7" name="bw_Items" displayName="bw_Items" ref="F25:I31" totalsRowShown="0">
  <autoFilter ref="F25:I31"/>
  <tableColumns count="4">
    <tableColumn id="1" name="Item/Svc"/>
    <tableColumn id="2" name="Cost" dataCellStyle="Currency"/>
    <tableColumn id="3" name="Frequency" dataDxfId="2" dataCellStyle="Currency"/>
    <tableColumn id="4" name="Category" dataDxfId="1" dataCellStyle="Currency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id="8" name="sr_Items" displayName="sr_Items" ref="K2:N9" totalsRowShown="0">
  <autoFilter ref="K2:N9"/>
  <tableColumns count="4">
    <tableColumn id="1" name="Item/Svc"/>
    <tableColumn id="2" name="Cost" dataCellStyle="Currency"/>
    <tableColumn id="3" name="Frequency"/>
    <tableColumn id="4" name="Category"/>
  </tableColumns>
  <tableStyleInfo name="TableStyleLight17" showFirstColumn="0" showLastColumn="0" showRowStripes="1" showColumnStripes="0"/>
</table>
</file>

<file path=xl/tables/table11.xml><?xml version="1.0" encoding="utf-8"?>
<table xmlns="http://schemas.openxmlformats.org/spreadsheetml/2006/main" id="9" name="rs_Items" displayName="rs_Items" ref="K11:N17" totalsRowShown="0">
  <autoFilter ref="K11:N17"/>
  <tableColumns count="4">
    <tableColumn id="1" name="Item/Svc"/>
    <tableColumn id="2" name="Cost" dataDxfId="0" dataCellStyle="Currency"/>
    <tableColumn id="3" name="Frequency"/>
    <tableColumn id="4" name="Category"/>
  </tableColumns>
  <tableStyleInfo name="TableStyleLight12" showFirstColumn="0" showLastColumn="0" showRowStripes="1" showColumnStripes="0"/>
</table>
</file>

<file path=xl/tables/table12.xml><?xml version="1.0" encoding="utf-8"?>
<table xmlns="http://schemas.openxmlformats.org/spreadsheetml/2006/main" id="10" name="b2_Items" displayName="b2_Items" ref="K19:N23" totalsRowShown="0">
  <autoFilter ref="K19:N23"/>
  <tableColumns count="4">
    <tableColumn id="1" name="Item/Svc"/>
    <tableColumn id="2" name="Cost" dataCellStyle="Currency"/>
    <tableColumn id="3" name="Frequency"/>
    <tableColumn id="4" name="Category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id="11" name="b3_items" displayName="b3_items" ref="K26:N30" totalsRowShown="0">
  <autoFilter ref="K26:N30"/>
  <tableColumns count="4">
    <tableColumn id="1" name="Item/Svc"/>
    <tableColumn id="2" name="Cost" dataCellStyle="Currency"/>
    <tableColumn id="3" name="Frequency"/>
    <tableColumn id="4" name="Category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G12" sqref="G12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makeEvent">
          <controlPr defaultSize="0" autoLine="0" autoPict="0" r:id="rId4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4</xdr:col>
                <xdr:colOff>19050</xdr:colOff>
                <xdr:row>2</xdr:row>
                <xdr:rowOff>28575</xdr:rowOff>
              </to>
            </anchor>
          </controlPr>
        </control>
      </mc:Choice>
      <mc:Fallback>
        <control shapeId="1025" r:id="rId3" name="makeEve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2" sqref="E2"/>
    </sheetView>
  </sheetViews>
  <sheetFormatPr defaultRowHeight="15" x14ac:dyDescent="0.25"/>
  <cols>
    <col min="1" max="1" width="20.28515625" bestFit="1" customWidth="1"/>
    <col min="2" max="2" width="16.140625" customWidth="1"/>
    <col min="3" max="3" width="13.28515625" customWidth="1"/>
    <col min="4" max="5" width="10.7109375" bestFit="1" customWidth="1"/>
    <col min="6" max="6" width="9.42578125" customWidth="1"/>
  </cols>
  <sheetData>
    <row r="1" spans="1:6" x14ac:dyDescent="0.25">
      <c r="A1" t="s">
        <v>0</v>
      </c>
      <c r="B1" t="s">
        <v>1</v>
      </c>
      <c r="C1" t="s">
        <v>17</v>
      </c>
      <c r="D1" t="s">
        <v>18</v>
      </c>
      <c r="E1" t="s">
        <v>19</v>
      </c>
      <c r="F1" t="s">
        <v>20</v>
      </c>
    </row>
    <row r="2" spans="1:6" x14ac:dyDescent="0.25">
      <c r="A2" t="s">
        <v>2</v>
      </c>
      <c r="B2" t="s">
        <v>29</v>
      </c>
      <c r="C2" s="1" t="b">
        <v>0</v>
      </c>
      <c r="D2" s="2"/>
      <c r="E2" s="2"/>
      <c r="F2" t="s">
        <v>21</v>
      </c>
    </row>
    <row r="3" spans="1:6" x14ac:dyDescent="0.25">
      <c r="A3" t="s">
        <v>3</v>
      </c>
      <c r="B3" t="s">
        <v>30</v>
      </c>
      <c r="C3" s="1" t="b">
        <v>0</v>
      </c>
      <c r="D3" s="2"/>
      <c r="F3" t="s">
        <v>22</v>
      </c>
    </row>
    <row r="4" spans="1:6" x14ac:dyDescent="0.25">
      <c r="A4" t="s">
        <v>4</v>
      </c>
      <c r="B4" t="s">
        <v>31</v>
      </c>
      <c r="C4" s="1" t="b">
        <v>0</v>
      </c>
      <c r="D4" s="2"/>
      <c r="F4" t="s">
        <v>23</v>
      </c>
    </row>
    <row r="5" spans="1:6" x14ac:dyDescent="0.25">
      <c r="A5" t="s">
        <v>5</v>
      </c>
      <c r="B5" t="s">
        <v>32</v>
      </c>
      <c r="C5" s="1" t="b">
        <v>0</v>
      </c>
      <c r="D5" s="2"/>
      <c r="F5" t="s">
        <v>24</v>
      </c>
    </row>
    <row r="6" spans="1:6" x14ac:dyDescent="0.25">
      <c r="A6" t="s">
        <v>6</v>
      </c>
      <c r="B6" t="s">
        <v>33</v>
      </c>
      <c r="C6" s="1" t="b">
        <v>0</v>
      </c>
      <c r="D6" s="2"/>
      <c r="E6" s="2"/>
      <c r="F6" t="s">
        <v>25</v>
      </c>
    </row>
    <row r="7" spans="1:6" x14ac:dyDescent="0.25">
      <c r="A7" t="s">
        <v>8</v>
      </c>
      <c r="B7" t="s">
        <v>34</v>
      </c>
      <c r="C7" s="1" t="b">
        <v>0</v>
      </c>
      <c r="D7" s="2"/>
      <c r="F7" t="s">
        <v>26</v>
      </c>
    </row>
    <row r="8" spans="1:6" x14ac:dyDescent="0.25">
      <c r="A8" t="s">
        <v>7</v>
      </c>
      <c r="B8" t="s">
        <v>35</v>
      </c>
      <c r="C8" s="1" t="b">
        <v>0</v>
      </c>
      <c r="D8" s="2"/>
      <c r="F8" t="s">
        <v>27</v>
      </c>
    </row>
    <row r="9" spans="1:6" x14ac:dyDescent="0.25">
      <c r="A9" t="s">
        <v>9</v>
      </c>
      <c r="B9" t="s">
        <v>36</v>
      </c>
      <c r="C9" s="1" t="b">
        <v>0</v>
      </c>
      <c r="D9" s="2"/>
      <c r="F9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2"/>
  <sheetViews>
    <sheetView workbookViewId="0">
      <selection activeCell="A2" sqref="A2:XFD2"/>
    </sheetView>
  </sheetViews>
  <sheetFormatPr defaultRowHeight="15" x14ac:dyDescent="0.25"/>
  <cols>
    <col min="1" max="1" width="17.140625" customWidth="1"/>
    <col min="2" max="2" width="13.85546875" customWidth="1"/>
    <col min="3" max="3" width="22.85546875" customWidth="1"/>
    <col min="4" max="4" width="24.85546875" customWidth="1"/>
    <col min="5" max="5" width="22.42578125" customWidth="1"/>
    <col min="6" max="6" width="25.140625" customWidth="1"/>
    <col min="7" max="7" width="25.5703125" customWidth="1"/>
    <col min="8" max="8" width="24.7109375" customWidth="1"/>
    <col min="9" max="9" width="15.5703125" bestFit="1" customWidth="1"/>
    <col min="10" max="10" width="11.5703125" bestFit="1" customWidth="1"/>
    <col min="11" max="11" width="14.42578125" bestFit="1" customWidth="1"/>
    <col min="12" max="12" width="11.5703125" bestFit="1" customWidth="1"/>
    <col min="13" max="13" width="17.28515625" bestFit="1" customWidth="1"/>
    <col min="14" max="14" width="13.140625" bestFit="1" customWidth="1"/>
    <col min="15" max="15" width="12.7109375" bestFit="1" customWidth="1"/>
    <col min="16" max="17" width="18.28515625" bestFit="1" customWidth="1"/>
  </cols>
  <sheetData>
    <row r="1" spans="1:17" x14ac:dyDescent="0.25">
      <c r="A1" t="s">
        <v>10</v>
      </c>
      <c r="B1" t="s">
        <v>11</v>
      </c>
      <c r="C1" t="s">
        <v>12</v>
      </c>
      <c r="D1" t="s">
        <v>37</v>
      </c>
      <c r="E1" t="s">
        <v>13</v>
      </c>
      <c r="F1" t="s">
        <v>14</v>
      </c>
      <c r="G1" t="s">
        <v>15</v>
      </c>
      <c r="H1" t="s">
        <v>16</v>
      </c>
      <c r="I1" t="s">
        <v>80</v>
      </c>
      <c r="J1" t="s">
        <v>102</v>
      </c>
      <c r="K1" t="s">
        <v>103</v>
      </c>
      <c r="L1" t="s">
        <v>105</v>
      </c>
      <c r="M1" t="s">
        <v>106</v>
      </c>
      <c r="N1" t="s">
        <v>104</v>
      </c>
      <c r="O1" t="s">
        <v>107</v>
      </c>
      <c r="P1" t="s">
        <v>108</v>
      </c>
      <c r="Q1" t="s">
        <v>109</v>
      </c>
    </row>
    <row r="2" spans="1:17" x14ac:dyDescent="0.25">
      <c r="I2" t="s">
        <v>110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"/>
  <sheetViews>
    <sheetView workbookViewId="0">
      <selection activeCell="J12" sqref="J12"/>
    </sheetView>
  </sheetViews>
  <sheetFormatPr defaultRowHeight="15" x14ac:dyDescent="0.25"/>
  <cols>
    <col min="1" max="1" width="10.7109375" bestFit="1" customWidth="1"/>
    <col min="2" max="2" width="9.7109375" customWidth="1"/>
    <col min="4" max="4" width="10.85546875" customWidth="1"/>
    <col min="6" max="6" width="10.5703125" style="1" bestFit="1" customWidth="1"/>
    <col min="7" max="7" width="13.140625" style="1" bestFit="1" customWidth="1"/>
    <col min="8" max="8" width="9.140625" style="1"/>
    <col min="9" max="9" width="19.42578125" style="1" bestFit="1" customWidth="1"/>
    <col min="10" max="10" width="19" customWidth="1"/>
    <col min="11" max="11" width="11.85546875" customWidth="1"/>
    <col min="12" max="12" width="14.5703125" customWidth="1"/>
    <col min="13" max="13" width="13.140625" customWidth="1"/>
    <col min="14" max="14" width="11" style="1" customWidth="1"/>
    <col min="15" max="15" width="9.140625" style="1"/>
  </cols>
  <sheetData>
    <row r="1" spans="1:22" x14ac:dyDescent="0.25">
      <c r="A1" t="s">
        <v>74</v>
      </c>
      <c r="B1" t="s">
        <v>78</v>
      </c>
      <c r="C1" t="s">
        <v>75</v>
      </c>
      <c r="D1" t="s">
        <v>76</v>
      </c>
      <c r="E1" t="s">
        <v>77</v>
      </c>
      <c r="F1" s="1" t="s">
        <v>39</v>
      </c>
      <c r="G1" s="1" t="s">
        <v>94</v>
      </c>
      <c r="I1" s="1" t="s">
        <v>81</v>
      </c>
      <c r="J1" t="s">
        <v>111</v>
      </c>
      <c r="K1" t="s">
        <v>82</v>
      </c>
      <c r="L1" t="s">
        <v>83</v>
      </c>
      <c r="M1" t="s">
        <v>84</v>
      </c>
      <c r="N1" s="1" t="s">
        <v>85</v>
      </c>
      <c r="O1"/>
    </row>
    <row r="2" spans="1:22" x14ac:dyDescent="0.25">
      <c r="B2" s="2"/>
      <c r="G2" s="7"/>
      <c r="I2" s="1" t="s">
        <v>112</v>
      </c>
      <c r="J2" s="12">
        <v>0.06</v>
      </c>
      <c r="N2" s="1">
        <v>0</v>
      </c>
      <c r="O2"/>
    </row>
    <row r="3" spans="1:22" x14ac:dyDescent="0.25">
      <c r="A3" t="s">
        <v>79</v>
      </c>
      <c r="B3" s="2"/>
      <c r="F3" s="8">
        <f>SUBTOTAL(109,costItems[Cost])</f>
        <v>0</v>
      </c>
      <c r="G3" s="8"/>
      <c r="I3" s="7" t="s">
        <v>113</v>
      </c>
      <c r="J3" s="12">
        <v>0.2</v>
      </c>
      <c r="N3" s="1">
        <v>0</v>
      </c>
      <c r="O3"/>
    </row>
    <row r="4" spans="1:22" x14ac:dyDescent="0.25">
      <c r="A4" s="2"/>
      <c r="B4" s="2"/>
      <c r="I4" s="7" t="s">
        <v>114</v>
      </c>
      <c r="J4" s="12">
        <v>0.2</v>
      </c>
      <c r="N4" s="1">
        <v>0</v>
      </c>
      <c r="O4"/>
    </row>
    <row r="5" spans="1:22" x14ac:dyDescent="0.25">
      <c r="A5" s="2"/>
      <c r="B5" s="2"/>
      <c r="H5" s="6"/>
      <c r="I5" s="7" t="s">
        <v>115</v>
      </c>
      <c r="J5" s="12">
        <v>0.15</v>
      </c>
      <c r="N5" s="1">
        <v>0</v>
      </c>
      <c r="O5"/>
    </row>
    <row r="6" spans="1:22" x14ac:dyDescent="0.25">
      <c r="I6" s="6"/>
      <c r="O6"/>
    </row>
    <row r="7" spans="1:22" x14ac:dyDescent="0.25">
      <c r="O7"/>
    </row>
    <row r="8" spans="1:22" x14ac:dyDescent="0.25">
      <c r="O8"/>
    </row>
    <row r="13" spans="1:22" x14ac:dyDescent="0.25">
      <c r="R13" s="1"/>
    </row>
    <row r="14" spans="1:22" x14ac:dyDescent="0.25">
      <c r="R14" s="1"/>
      <c r="S14" s="1"/>
      <c r="T14" s="1"/>
      <c r="U14" s="1"/>
      <c r="V14" s="1"/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G3"/>
  <sheetViews>
    <sheetView workbookViewId="0">
      <selection activeCell="D3" sqref="D3:G3"/>
    </sheetView>
  </sheetViews>
  <sheetFormatPr defaultRowHeight="15" x14ac:dyDescent="0.25"/>
  <cols>
    <col min="4" max="4" width="10.7109375" bestFit="1" customWidth="1"/>
    <col min="5" max="5" width="12.140625" customWidth="1"/>
    <col min="6" max="6" width="11.28515625" customWidth="1"/>
    <col min="7" max="7" width="12.7109375" customWidth="1"/>
  </cols>
  <sheetData>
    <row r="2" spans="2:7" x14ac:dyDescent="0.25">
      <c r="D2" t="s">
        <v>74</v>
      </c>
      <c r="E2" t="s">
        <v>86</v>
      </c>
      <c r="F2" t="s">
        <v>87</v>
      </c>
      <c r="G2" t="s">
        <v>88</v>
      </c>
    </row>
    <row r="3" spans="2:7" x14ac:dyDescent="0.25">
      <c r="B3" s="2"/>
      <c r="D3" s="2"/>
      <c r="E3" s="9"/>
      <c r="F3" s="9"/>
      <c r="G3" s="9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30"/>
  <sheetViews>
    <sheetView workbookViewId="0">
      <selection activeCell="Y5" sqref="Y5"/>
    </sheetView>
  </sheetViews>
  <sheetFormatPr defaultRowHeight="15" x14ac:dyDescent="0.25"/>
  <sheetData>
    <row r="1" spans="1:24" x14ac:dyDescent="0.25">
      <c r="A1" s="13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</row>
    <row r="2" spans="1:24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</row>
    <row r="3" spans="1:24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</row>
    <row r="4" spans="1:24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</row>
    <row r="5" spans="1:24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</row>
    <row r="6" spans="1:24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</row>
    <row r="7" spans="1:24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</row>
    <row r="8" spans="1:24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</row>
    <row r="9" spans="1:24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</row>
    <row r="10" spans="1:24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</row>
    <row r="11" spans="1:24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</row>
    <row r="12" spans="1:24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</row>
    <row r="13" spans="1:24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</row>
    <row r="14" spans="1:24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</row>
    <row r="15" spans="1:24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</row>
    <row r="16" spans="1:24" x14ac:dyDescent="0.25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</row>
    <row r="17" spans="1:24" x14ac:dyDescent="0.25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</row>
    <row r="18" spans="1:24" x14ac:dyDescent="0.25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</row>
    <row r="19" spans="1:24" x14ac:dyDescent="0.25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</row>
    <row r="20" spans="1:24" x14ac:dyDescent="0.25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</row>
    <row r="21" spans="1:24" x14ac:dyDescent="0.25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</row>
    <row r="22" spans="1:24" x14ac:dyDescent="0.25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</row>
    <row r="23" spans="1:24" x14ac:dyDescent="0.25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</row>
    <row r="24" spans="1:24" x14ac:dyDescent="0.25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</row>
    <row r="25" spans="1:24" x14ac:dyDescent="0.25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</row>
    <row r="26" spans="1:24" x14ac:dyDescent="0.25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</row>
    <row r="27" spans="1:24" x14ac:dyDescent="0.25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</row>
    <row r="28" spans="1:24" x14ac:dyDescent="0.25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</row>
    <row r="29" spans="1:24" x14ac:dyDescent="0.25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</row>
    <row r="30" spans="1:24" x14ac:dyDescent="0.25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</row>
  </sheetData>
  <mergeCells count="1">
    <mergeCell ref="A1:X3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1"/>
  <sheetViews>
    <sheetView topLeftCell="A2" workbookViewId="0">
      <selection activeCell="K28" sqref="K28"/>
    </sheetView>
  </sheetViews>
  <sheetFormatPr defaultRowHeight="15" x14ac:dyDescent="0.25"/>
  <cols>
    <col min="1" max="1" width="20.28515625" bestFit="1" customWidth="1"/>
    <col min="2" max="2" width="17.7109375" bestFit="1" customWidth="1"/>
    <col min="3" max="4" width="17.7109375" customWidth="1"/>
    <col min="5" max="5" width="10.7109375" bestFit="1" customWidth="1"/>
    <col min="6" max="6" width="20" bestFit="1" customWidth="1"/>
    <col min="7" max="7" width="16" bestFit="1" customWidth="1"/>
    <col min="8" max="9" width="16" customWidth="1"/>
    <col min="10" max="10" width="8.85546875" bestFit="1" customWidth="1"/>
    <col min="11" max="11" width="20.28515625" bestFit="1" customWidth="1"/>
    <col min="12" max="12" width="13.7109375" bestFit="1" customWidth="1"/>
    <col min="13" max="13" width="12.5703125" bestFit="1" customWidth="1"/>
    <col min="14" max="14" width="11.5703125" bestFit="1" customWidth="1"/>
    <col min="15" max="15" width="9.7109375" bestFit="1" customWidth="1"/>
  </cols>
  <sheetData>
    <row r="1" spans="1:15" x14ac:dyDescent="0.25">
      <c r="A1" s="15" t="s">
        <v>51</v>
      </c>
      <c r="B1" s="15"/>
      <c r="C1" s="4"/>
      <c r="D1" s="11"/>
      <c r="F1" s="15" t="s">
        <v>56</v>
      </c>
      <c r="G1" s="15"/>
      <c r="H1" s="4"/>
      <c r="I1" s="11"/>
      <c r="K1" s="15" t="s">
        <v>66</v>
      </c>
      <c r="L1" s="15"/>
    </row>
    <row r="2" spans="1:15" x14ac:dyDescent="0.25">
      <c r="A2" t="s">
        <v>38</v>
      </c>
      <c r="B2" t="s">
        <v>39</v>
      </c>
      <c r="C2" t="s">
        <v>70</v>
      </c>
      <c r="D2" t="s">
        <v>94</v>
      </c>
      <c r="F2" t="s">
        <v>38</v>
      </c>
      <c r="G2" t="s">
        <v>39</v>
      </c>
      <c r="H2" t="s">
        <v>70</v>
      </c>
      <c r="I2" t="s">
        <v>94</v>
      </c>
      <c r="K2" t="s">
        <v>38</v>
      </c>
      <c r="L2" t="s">
        <v>39</v>
      </c>
      <c r="M2" t="s">
        <v>70</v>
      </c>
      <c r="N2" t="s">
        <v>94</v>
      </c>
    </row>
    <row r="3" spans="1:15" x14ac:dyDescent="0.25">
      <c r="A3" t="s">
        <v>40</v>
      </c>
      <c r="B3" s="1">
        <v>25.41</v>
      </c>
      <c r="C3" s="1" t="s">
        <v>71</v>
      </c>
      <c r="D3" s="1" t="s">
        <v>95</v>
      </c>
      <c r="E3" s="1"/>
      <c r="F3" s="3" t="s">
        <v>40</v>
      </c>
      <c r="G3" s="1">
        <v>25.41</v>
      </c>
      <c r="H3" s="1" t="s">
        <v>71</v>
      </c>
      <c r="I3" s="1" t="s">
        <v>95</v>
      </c>
      <c r="K3" t="s">
        <v>40</v>
      </c>
      <c r="L3" s="1">
        <v>25.41</v>
      </c>
      <c r="M3" t="s">
        <v>71</v>
      </c>
      <c r="N3" t="s">
        <v>95</v>
      </c>
    </row>
    <row r="4" spans="1:15" x14ac:dyDescent="0.25">
      <c r="A4" t="s">
        <v>93</v>
      </c>
      <c r="B4" s="1">
        <v>45</v>
      </c>
      <c r="C4" s="1" t="s">
        <v>71</v>
      </c>
      <c r="D4" s="1" t="s">
        <v>95</v>
      </c>
      <c r="E4" s="1"/>
      <c r="F4" s="3" t="s">
        <v>93</v>
      </c>
      <c r="G4" s="1">
        <v>45</v>
      </c>
      <c r="H4" s="1" t="s">
        <v>71</v>
      </c>
      <c r="I4" s="1" t="s">
        <v>95</v>
      </c>
      <c r="K4" t="s">
        <v>41</v>
      </c>
      <c r="L4" s="1">
        <v>22.42</v>
      </c>
      <c r="M4" t="s">
        <v>71</v>
      </c>
      <c r="N4" t="s">
        <v>96</v>
      </c>
      <c r="O4" s="2"/>
    </row>
    <row r="5" spans="1:15" x14ac:dyDescent="0.25">
      <c r="A5" t="s">
        <v>41</v>
      </c>
      <c r="B5" s="1">
        <v>22.42</v>
      </c>
      <c r="C5" s="1" t="s">
        <v>71</v>
      </c>
      <c r="D5" s="1" t="s">
        <v>96</v>
      </c>
      <c r="E5" s="1"/>
      <c r="F5" s="3" t="s">
        <v>41</v>
      </c>
      <c r="G5" s="1">
        <v>22.42</v>
      </c>
      <c r="H5" s="1" t="s">
        <v>71</v>
      </c>
      <c r="I5" s="1" t="s">
        <v>96</v>
      </c>
      <c r="K5" t="s">
        <v>42</v>
      </c>
      <c r="L5" s="1">
        <v>14.16</v>
      </c>
      <c r="M5" t="s">
        <v>71</v>
      </c>
      <c r="N5" t="s">
        <v>96</v>
      </c>
      <c r="O5" s="2"/>
    </row>
    <row r="6" spans="1:15" x14ac:dyDescent="0.25">
      <c r="A6" t="s">
        <v>42</v>
      </c>
      <c r="B6" s="1">
        <v>14.16</v>
      </c>
      <c r="C6" s="1" t="s">
        <v>71</v>
      </c>
      <c r="D6" s="1" t="s">
        <v>96</v>
      </c>
      <c r="E6" s="1"/>
      <c r="F6" s="3" t="s">
        <v>42</v>
      </c>
      <c r="G6" s="1">
        <v>14.16</v>
      </c>
      <c r="H6" s="1" t="s">
        <v>71</v>
      </c>
      <c r="I6" s="1" t="s">
        <v>96</v>
      </c>
      <c r="K6" t="s">
        <v>90</v>
      </c>
      <c r="L6" s="1">
        <v>5</v>
      </c>
      <c r="M6" t="s">
        <v>71</v>
      </c>
      <c r="N6" t="s">
        <v>96</v>
      </c>
      <c r="O6" s="2"/>
    </row>
    <row r="7" spans="1:15" x14ac:dyDescent="0.25">
      <c r="A7" t="s">
        <v>90</v>
      </c>
      <c r="B7" s="1">
        <v>5</v>
      </c>
      <c r="C7" s="1" t="s">
        <v>71</v>
      </c>
      <c r="D7" s="1" t="s">
        <v>96</v>
      </c>
      <c r="E7" s="1"/>
      <c r="F7" s="10" t="s">
        <v>90</v>
      </c>
      <c r="G7" s="1">
        <v>5</v>
      </c>
      <c r="H7" s="1" t="s">
        <v>71</v>
      </c>
      <c r="I7" s="1" t="s">
        <v>96</v>
      </c>
      <c r="K7" t="s">
        <v>43</v>
      </c>
      <c r="L7" s="1">
        <v>100</v>
      </c>
      <c r="M7" t="s">
        <v>72</v>
      </c>
      <c r="N7" t="s">
        <v>97</v>
      </c>
      <c r="O7" s="2"/>
    </row>
    <row r="8" spans="1:15" x14ac:dyDescent="0.25">
      <c r="A8" t="s">
        <v>43</v>
      </c>
      <c r="B8" s="1">
        <v>100</v>
      </c>
      <c r="C8" s="1" t="s">
        <v>72</v>
      </c>
      <c r="D8" s="1" t="s">
        <v>97</v>
      </c>
      <c r="E8" s="1"/>
      <c r="F8" s="5" t="s">
        <v>45</v>
      </c>
      <c r="G8" s="1">
        <v>320</v>
      </c>
      <c r="H8" s="1" t="s">
        <v>73</v>
      </c>
      <c r="I8" s="1" t="s">
        <v>95</v>
      </c>
      <c r="K8" t="s">
        <v>44</v>
      </c>
      <c r="L8" s="1">
        <v>100</v>
      </c>
      <c r="M8" t="s">
        <v>72</v>
      </c>
      <c r="N8" t="s">
        <v>98</v>
      </c>
      <c r="O8" s="2"/>
    </row>
    <row r="9" spans="1:15" x14ac:dyDescent="0.25">
      <c r="A9" t="s">
        <v>44</v>
      </c>
      <c r="B9" s="1">
        <f>(175*0.8)</f>
        <v>140</v>
      </c>
      <c r="C9" s="1" t="s">
        <v>72</v>
      </c>
      <c r="D9" s="1" t="s">
        <v>98</v>
      </c>
      <c r="E9" s="1"/>
      <c r="F9" s="5" t="s">
        <v>57</v>
      </c>
      <c r="G9" s="1">
        <v>45</v>
      </c>
      <c r="H9" s="1" t="s">
        <v>71</v>
      </c>
      <c r="I9" s="1" t="s">
        <v>99</v>
      </c>
      <c r="K9" t="s">
        <v>89</v>
      </c>
      <c r="L9" s="1">
        <v>150</v>
      </c>
      <c r="M9" t="s">
        <v>71</v>
      </c>
      <c r="N9" t="s">
        <v>100</v>
      </c>
    </row>
    <row r="10" spans="1:15" x14ac:dyDescent="0.25">
      <c r="A10" t="s">
        <v>45</v>
      </c>
      <c r="B10" s="1">
        <v>320</v>
      </c>
      <c r="C10" s="1" t="s">
        <v>73</v>
      </c>
      <c r="D10" s="1" t="s">
        <v>95</v>
      </c>
      <c r="E10" s="1"/>
      <c r="F10" s="5" t="s">
        <v>58</v>
      </c>
      <c r="G10" s="1">
        <v>31.34</v>
      </c>
      <c r="H10" s="1" t="s">
        <v>71</v>
      </c>
      <c r="I10" s="1" t="s">
        <v>99</v>
      </c>
      <c r="K10" s="15" t="s">
        <v>67</v>
      </c>
      <c r="L10" s="15"/>
    </row>
    <row r="11" spans="1:15" x14ac:dyDescent="0.25">
      <c r="A11" t="s">
        <v>46</v>
      </c>
      <c r="B11" s="1">
        <v>250</v>
      </c>
      <c r="C11" s="1" t="s">
        <v>73</v>
      </c>
      <c r="D11" s="1" t="s">
        <v>95</v>
      </c>
      <c r="E11" s="1"/>
      <c r="F11" s="5" t="s">
        <v>59</v>
      </c>
      <c r="G11" s="1">
        <v>73.819999999999993</v>
      </c>
      <c r="H11" s="1" t="s">
        <v>71</v>
      </c>
      <c r="I11" s="1" t="s">
        <v>99</v>
      </c>
      <c r="K11" t="s">
        <v>38</v>
      </c>
      <c r="L11" t="s">
        <v>39</v>
      </c>
      <c r="M11" t="s">
        <v>70</v>
      </c>
      <c r="N11" t="s">
        <v>94</v>
      </c>
    </row>
    <row r="12" spans="1:15" x14ac:dyDescent="0.25">
      <c r="A12" t="s">
        <v>47</v>
      </c>
      <c r="B12" s="1">
        <v>120</v>
      </c>
      <c r="C12" s="1" t="s">
        <v>73</v>
      </c>
      <c r="D12" s="1" t="s">
        <v>95</v>
      </c>
      <c r="E12" s="1"/>
      <c r="F12" s="5" t="s">
        <v>46</v>
      </c>
      <c r="G12" s="1">
        <v>250</v>
      </c>
      <c r="H12" s="1" t="s">
        <v>73</v>
      </c>
      <c r="I12" s="1" t="s">
        <v>95</v>
      </c>
      <c r="K12" t="s">
        <v>40</v>
      </c>
      <c r="L12" s="1">
        <v>25.41</v>
      </c>
      <c r="M12" t="s">
        <v>71</v>
      </c>
      <c r="N12" t="s">
        <v>95</v>
      </c>
    </row>
    <row r="13" spans="1:15" x14ac:dyDescent="0.25">
      <c r="A13" t="s">
        <v>48</v>
      </c>
      <c r="B13" s="1">
        <v>50</v>
      </c>
      <c r="C13" s="1" t="s">
        <v>73</v>
      </c>
      <c r="D13" s="1" t="s">
        <v>95</v>
      </c>
      <c r="E13" s="1"/>
      <c r="F13" s="5" t="s">
        <v>47</v>
      </c>
      <c r="G13" s="1">
        <v>120</v>
      </c>
      <c r="H13" s="1" t="s">
        <v>73</v>
      </c>
      <c r="I13" s="1" t="s">
        <v>95</v>
      </c>
      <c r="K13" t="s">
        <v>41</v>
      </c>
      <c r="L13" s="1">
        <v>22.42</v>
      </c>
      <c r="M13" t="s">
        <v>71</v>
      </c>
      <c r="N13" t="s">
        <v>96</v>
      </c>
    </row>
    <row r="14" spans="1:15" x14ac:dyDescent="0.25">
      <c r="A14" t="s">
        <v>49</v>
      </c>
      <c r="B14" s="1">
        <v>100</v>
      </c>
      <c r="C14" s="1" t="s">
        <v>73</v>
      </c>
      <c r="D14" s="1" t="s">
        <v>95</v>
      </c>
      <c r="E14" s="1"/>
      <c r="F14" s="5" t="s">
        <v>48</v>
      </c>
      <c r="G14" s="1">
        <v>400</v>
      </c>
      <c r="H14" s="1" t="s">
        <v>73</v>
      </c>
      <c r="I14" s="1" t="s">
        <v>95</v>
      </c>
      <c r="K14" t="s">
        <v>42</v>
      </c>
      <c r="L14" s="1">
        <v>14.16</v>
      </c>
      <c r="M14" t="s">
        <v>71</v>
      </c>
      <c r="N14" t="s">
        <v>96</v>
      </c>
    </row>
    <row r="15" spans="1:15" x14ac:dyDescent="0.25">
      <c r="A15" t="s">
        <v>50</v>
      </c>
      <c r="B15" s="1">
        <v>250</v>
      </c>
      <c r="C15" s="1" t="s">
        <v>73</v>
      </c>
      <c r="D15" s="1" t="s">
        <v>95</v>
      </c>
      <c r="E15" s="1"/>
      <c r="F15" s="5" t="s">
        <v>91</v>
      </c>
      <c r="G15" s="1">
        <v>75</v>
      </c>
      <c r="H15" s="1" t="s">
        <v>73</v>
      </c>
      <c r="I15" s="1" t="s">
        <v>95</v>
      </c>
      <c r="K15" t="s">
        <v>90</v>
      </c>
      <c r="L15" s="1">
        <v>5</v>
      </c>
      <c r="M15" t="s">
        <v>71</v>
      </c>
      <c r="N15" t="s">
        <v>96</v>
      </c>
    </row>
    <row r="16" spans="1:15" x14ac:dyDescent="0.25">
      <c r="F16" s="5" t="s">
        <v>92</v>
      </c>
      <c r="G16" s="1">
        <v>25</v>
      </c>
      <c r="H16" s="1" t="s">
        <v>73</v>
      </c>
      <c r="I16" s="1" t="s">
        <v>95</v>
      </c>
      <c r="K16" t="s">
        <v>43</v>
      </c>
      <c r="L16" s="1">
        <v>100</v>
      </c>
      <c r="M16" t="s">
        <v>72</v>
      </c>
      <c r="N16" t="s">
        <v>97</v>
      </c>
    </row>
    <row r="17" spans="1:14" x14ac:dyDescent="0.25">
      <c r="A17" s="15" t="s">
        <v>52</v>
      </c>
      <c r="B17" s="15"/>
      <c r="C17" s="4"/>
      <c r="D17" s="11"/>
      <c r="F17" s="5" t="s">
        <v>43</v>
      </c>
      <c r="G17" s="1">
        <v>100</v>
      </c>
      <c r="H17" s="1" t="s">
        <v>72</v>
      </c>
      <c r="I17" s="1" t="s">
        <v>97</v>
      </c>
      <c r="K17" t="s">
        <v>89</v>
      </c>
      <c r="L17" s="7">
        <v>35</v>
      </c>
      <c r="M17" t="s">
        <v>71</v>
      </c>
      <c r="N17" t="s">
        <v>100</v>
      </c>
    </row>
    <row r="18" spans="1:14" x14ac:dyDescent="0.25">
      <c r="A18" t="s">
        <v>38</v>
      </c>
      <c r="B18" t="s">
        <v>39</v>
      </c>
      <c r="C18" t="s">
        <v>70</v>
      </c>
      <c r="D18" t="s">
        <v>94</v>
      </c>
      <c r="F18" s="5" t="s">
        <v>63</v>
      </c>
      <c r="G18" s="1">
        <f>(600*0.8)</f>
        <v>480</v>
      </c>
      <c r="H18" s="1" t="s">
        <v>72</v>
      </c>
      <c r="I18" s="1" t="s">
        <v>98</v>
      </c>
      <c r="K18" s="15" t="s">
        <v>68</v>
      </c>
      <c r="L18" s="15"/>
    </row>
    <row r="19" spans="1:14" x14ac:dyDescent="0.25">
      <c r="A19" t="s">
        <v>40</v>
      </c>
      <c r="B19" s="1">
        <v>25.41</v>
      </c>
      <c r="C19" s="1" t="s">
        <v>71</v>
      </c>
      <c r="D19" s="1" t="s">
        <v>95</v>
      </c>
      <c r="F19" s="5" t="s">
        <v>60</v>
      </c>
      <c r="G19" s="1">
        <v>14.16</v>
      </c>
      <c r="H19" s="1" t="s">
        <v>71</v>
      </c>
      <c r="I19" s="1" t="s">
        <v>96</v>
      </c>
      <c r="K19" t="s">
        <v>38</v>
      </c>
      <c r="L19" t="s">
        <v>39</v>
      </c>
      <c r="M19" t="s">
        <v>70</v>
      </c>
      <c r="N19" t="s">
        <v>94</v>
      </c>
    </row>
    <row r="20" spans="1:14" x14ac:dyDescent="0.25">
      <c r="A20" t="s">
        <v>93</v>
      </c>
      <c r="B20" s="1">
        <v>45</v>
      </c>
      <c r="C20" s="1" t="s">
        <v>71</v>
      </c>
      <c r="D20" s="1" t="s">
        <v>95</v>
      </c>
      <c r="F20" s="5" t="s">
        <v>61</v>
      </c>
      <c r="G20" s="1">
        <v>45</v>
      </c>
      <c r="H20" s="1" t="s">
        <v>71</v>
      </c>
      <c r="I20" s="1" t="s">
        <v>99</v>
      </c>
      <c r="K20" t="s">
        <v>101</v>
      </c>
      <c r="L20" s="1">
        <v>21.42</v>
      </c>
      <c r="M20" t="s">
        <v>71</v>
      </c>
      <c r="N20" t="s">
        <v>96</v>
      </c>
    </row>
    <row r="21" spans="1:14" x14ac:dyDescent="0.25">
      <c r="A21" t="s">
        <v>41</v>
      </c>
      <c r="B21" s="1">
        <v>22.42</v>
      </c>
      <c r="C21" s="1" t="s">
        <v>71</v>
      </c>
      <c r="D21" s="1" t="s">
        <v>96</v>
      </c>
      <c r="F21" s="5" t="s">
        <v>62</v>
      </c>
      <c r="G21" s="1">
        <v>31.34</v>
      </c>
      <c r="H21" s="1" t="s">
        <v>71</v>
      </c>
      <c r="I21" s="1" t="s">
        <v>99</v>
      </c>
      <c r="K21" t="s">
        <v>42</v>
      </c>
      <c r="L21" s="1">
        <v>14.16</v>
      </c>
      <c r="M21" t="s">
        <v>71</v>
      </c>
      <c r="N21" t="s">
        <v>96</v>
      </c>
    </row>
    <row r="22" spans="1:14" x14ac:dyDescent="0.25">
      <c r="A22" t="s">
        <v>42</v>
      </c>
      <c r="B22" s="1">
        <v>14.16</v>
      </c>
      <c r="C22" s="1" t="s">
        <v>71</v>
      </c>
      <c r="D22" s="1" t="s">
        <v>96</v>
      </c>
      <c r="F22" s="5" t="s">
        <v>64</v>
      </c>
      <c r="G22" s="1">
        <f>(500*0.8)</f>
        <v>400</v>
      </c>
      <c r="H22" s="1" t="s">
        <v>71</v>
      </c>
      <c r="I22" s="1" t="s">
        <v>98</v>
      </c>
      <c r="K22" t="s">
        <v>90</v>
      </c>
      <c r="L22" s="1">
        <v>5</v>
      </c>
      <c r="M22" t="s">
        <v>71</v>
      </c>
      <c r="N22" t="s">
        <v>96</v>
      </c>
    </row>
    <row r="23" spans="1:14" x14ac:dyDescent="0.25">
      <c r="A23" t="s">
        <v>90</v>
      </c>
      <c r="B23" s="1">
        <v>5</v>
      </c>
      <c r="C23" s="1" t="s">
        <v>71</v>
      </c>
      <c r="D23" s="1" t="s">
        <v>96</v>
      </c>
      <c r="K23" t="s">
        <v>89</v>
      </c>
      <c r="L23" s="1">
        <v>10</v>
      </c>
      <c r="M23" t="s">
        <v>71</v>
      </c>
      <c r="N23" t="s">
        <v>100</v>
      </c>
    </row>
    <row r="24" spans="1:14" x14ac:dyDescent="0.25">
      <c r="A24" t="s">
        <v>43</v>
      </c>
      <c r="B24" s="1">
        <v>100</v>
      </c>
      <c r="C24" s="1" t="s">
        <v>72</v>
      </c>
      <c r="D24" s="1" t="s">
        <v>97</v>
      </c>
      <c r="F24" s="15" t="s">
        <v>65</v>
      </c>
      <c r="G24" s="15"/>
      <c r="H24" s="4"/>
      <c r="I24" s="11"/>
    </row>
    <row r="25" spans="1:14" x14ac:dyDescent="0.25">
      <c r="A25" t="s">
        <v>44</v>
      </c>
      <c r="B25" s="1">
        <f>(220*0.8)</f>
        <v>176</v>
      </c>
      <c r="C25" s="1" t="s">
        <v>72</v>
      </c>
      <c r="D25" s="1" t="s">
        <v>98</v>
      </c>
      <c r="F25" t="s">
        <v>38</v>
      </c>
      <c r="G25" t="s">
        <v>39</v>
      </c>
      <c r="H25" t="s">
        <v>70</v>
      </c>
      <c r="I25" t="s">
        <v>94</v>
      </c>
      <c r="K25" s="15" t="s">
        <v>69</v>
      </c>
      <c r="L25" s="15"/>
    </row>
    <row r="26" spans="1:14" x14ac:dyDescent="0.25">
      <c r="A26" t="s">
        <v>45</v>
      </c>
      <c r="B26" s="1">
        <v>320</v>
      </c>
      <c r="C26" s="1" t="s">
        <v>73</v>
      </c>
      <c r="D26" s="1" t="s">
        <v>95</v>
      </c>
      <c r="F26" t="s">
        <v>40</v>
      </c>
      <c r="G26" s="1">
        <v>25.41</v>
      </c>
      <c r="H26" s="1" t="s">
        <v>71</v>
      </c>
      <c r="I26" s="1" t="s">
        <v>95</v>
      </c>
      <c r="K26" t="s">
        <v>38</v>
      </c>
      <c r="L26" t="s">
        <v>39</v>
      </c>
      <c r="M26" t="s">
        <v>70</v>
      </c>
      <c r="N26" t="s">
        <v>94</v>
      </c>
    </row>
    <row r="27" spans="1:14" x14ac:dyDescent="0.25">
      <c r="A27" t="s">
        <v>46</v>
      </c>
      <c r="B27" s="1">
        <v>250</v>
      </c>
      <c r="C27" s="1" t="s">
        <v>73</v>
      </c>
      <c r="D27" s="1" t="s">
        <v>95</v>
      </c>
      <c r="F27" t="s">
        <v>41</v>
      </c>
      <c r="G27" s="1">
        <v>22.42</v>
      </c>
      <c r="H27" s="1" t="s">
        <v>71</v>
      </c>
      <c r="I27" s="1" t="s">
        <v>95</v>
      </c>
      <c r="K27" t="s">
        <v>101</v>
      </c>
      <c r="L27" s="1">
        <v>21.42</v>
      </c>
      <c r="M27" t="s">
        <v>71</v>
      </c>
      <c r="N27" t="s">
        <v>96</v>
      </c>
    </row>
    <row r="28" spans="1:14" x14ac:dyDescent="0.25">
      <c r="A28" t="s">
        <v>47</v>
      </c>
      <c r="B28" s="1">
        <v>120</v>
      </c>
      <c r="C28" s="1" t="s">
        <v>73</v>
      </c>
      <c r="D28" s="1" t="s">
        <v>95</v>
      </c>
      <c r="F28" t="s">
        <v>42</v>
      </c>
      <c r="G28" s="1">
        <v>14.16</v>
      </c>
      <c r="H28" s="1" t="s">
        <v>71</v>
      </c>
      <c r="I28" s="1" t="s">
        <v>96</v>
      </c>
      <c r="K28" t="s">
        <v>42</v>
      </c>
      <c r="L28" s="1">
        <v>14.16</v>
      </c>
      <c r="M28" t="s">
        <v>71</v>
      </c>
      <c r="N28" t="s">
        <v>96</v>
      </c>
    </row>
    <row r="29" spans="1:14" x14ac:dyDescent="0.25">
      <c r="A29" t="s">
        <v>53</v>
      </c>
      <c r="B29" s="1">
        <v>150</v>
      </c>
      <c r="C29" s="1" t="s">
        <v>73</v>
      </c>
      <c r="D29" s="1" t="s">
        <v>95</v>
      </c>
      <c r="F29" t="s">
        <v>90</v>
      </c>
      <c r="G29" s="1">
        <v>5</v>
      </c>
      <c r="H29" s="1" t="s">
        <v>71</v>
      </c>
      <c r="I29" s="1" t="s">
        <v>96</v>
      </c>
      <c r="K29" t="s">
        <v>90</v>
      </c>
      <c r="L29" s="1">
        <v>5</v>
      </c>
      <c r="M29" t="s">
        <v>71</v>
      </c>
      <c r="N29" t="s">
        <v>96</v>
      </c>
    </row>
    <row r="30" spans="1:14" x14ac:dyDescent="0.25">
      <c r="A30" t="s">
        <v>54</v>
      </c>
      <c r="B30" s="1">
        <v>100</v>
      </c>
      <c r="C30" s="1" t="s">
        <v>73</v>
      </c>
      <c r="D30" s="1" t="s">
        <v>95</v>
      </c>
      <c r="F30" t="s">
        <v>43</v>
      </c>
      <c r="G30" s="1">
        <v>100</v>
      </c>
      <c r="H30" s="1" t="s">
        <v>72</v>
      </c>
      <c r="I30" s="1" t="s">
        <v>97</v>
      </c>
      <c r="K30" t="s">
        <v>89</v>
      </c>
      <c r="L30" s="1">
        <v>25</v>
      </c>
      <c r="M30" t="s">
        <v>71</v>
      </c>
      <c r="N30" t="s">
        <v>100</v>
      </c>
    </row>
    <row r="31" spans="1:14" x14ac:dyDescent="0.25">
      <c r="A31" t="s">
        <v>55</v>
      </c>
      <c r="B31" s="1">
        <v>75</v>
      </c>
      <c r="C31" s="1" t="s">
        <v>73</v>
      </c>
      <c r="D31" s="1" t="s">
        <v>95</v>
      </c>
      <c r="F31" t="s">
        <v>44</v>
      </c>
      <c r="G31" s="1">
        <f>(75*0.8)</f>
        <v>60</v>
      </c>
      <c r="H31" s="1" t="s">
        <v>72</v>
      </c>
      <c r="I31" s="1" t="s">
        <v>98</v>
      </c>
    </row>
  </sheetData>
  <mergeCells count="8">
    <mergeCell ref="K25:L25"/>
    <mergeCell ref="A1:B1"/>
    <mergeCell ref="A17:B17"/>
    <mergeCell ref="F1:G1"/>
    <mergeCell ref="F24:G24"/>
    <mergeCell ref="K1:L1"/>
    <mergeCell ref="K10:L10"/>
    <mergeCell ref="K18:L18"/>
  </mergeCell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Venues</vt:lpstr>
      <vt:lpstr>OverviewSheet</vt:lpstr>
      <vt:lpstr>Event Costs</vt:lpstr>
      <vt:lpstr>Schedule</vt:lpstr>
      <vt:lpstr>Post-Mortem</vt:lpstr>
      <vt:lpstr>Utility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Tevelow</dc:creator>
  <cp:lastModifiedBy>Benjamin Tevelow</cp:lastModifiedBy>
  <dcterms:created xsi:type="dcterms:W3CDTF">2014-09-12T14:32:24Z</dcterms:created>
  <dcterms:modified xsi:type="dcterms:W3CDTF">2014-10-27T02:08:39Z</dcterms:modified>
</cp:coreProperties>
</file>