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Post-Mortem" sheetId="8" r:id="rId6"/>
    <sheet name="Utility" sheetId="4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<sst xmlns="http://schemas.openxmlformats.org/spreadsheetml/2006/main" count="331" uniqueCount="118">
  <si>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</si>
  <si>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</si>
  <si>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</si>
  <si>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</si>
  <si>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</si>
  <si>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</si>
  <si>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</si>
  <si>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</si>
  <si>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</si>
  <si>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</si>
  <si>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</si>
  <si>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</si>
  <si>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</si>
  <si>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</si>
  <si>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</si>
  <si>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</si>
  <si>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</si>
  <si>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</si>
  <si>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</si>
  <si>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</si>
  <si>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</si>
  <si>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</si>
  <si>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</si>
  <si>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</si>
  <si>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</si>
  <si>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</si>
  <si>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</si>
  <si>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</si>
  <si>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</si>
  <si>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</si>
  <si>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</si>
  <si>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</si>
  <si>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</si>
  <si>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</si>
  <si>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</si>
  <si>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</si>
  <si>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</si>
  <si>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</si>
  <si>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</si>
  <si>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</si>
  <si>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</si>
  <si>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</si>
  <si>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</si>
  <si>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</si>
  <si>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</si>
  <si>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</si>
  <si>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</si>
  <si>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</si>
  <si>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</si>
  <si>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</si>
  <si>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</si>
  <si>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</si>
  <si>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</si>
  <si>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</si>
  <si>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</si>
  <si>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</si>
  <si>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</si>
  <si>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</si>
  <si>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</si>
  <si>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</si>
  <si>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</si>
  <si>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</si>
  <si>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</si>
  <si>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</si>
  <si>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</si>
  <si>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</si>
  <si>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</si>
  <si>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</si>
  <si>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</si>
  <si>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</si>
  <si>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</si>
  <si>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</si>
  <si>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</si>
  <si>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</si>
  <si>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</si>
  <si>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</si>
  <si>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</si>
  <si>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</si>
  <si>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Venue</t>
  </si>
  <si>
    <t>Total</t>
  </si>
  <si>
    <t>Billing Option</t>
  </si>
  <si>
    <t>Adjustment</t>
  </si>
  <si>
    <t>Column2</t>
  </si>
  <si>
    <t>Column3</t>
  </si>
  <si>
    <t>Column4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</si>
  <si>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</si>
  <si>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</si>
  <si>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</si>
  <si>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</si>
  <si>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</si>
  <si>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</si>
  <si>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</si>
  <si>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</si>
  <si>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</si>
  <si>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</si>
  <si>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</si>
  <si>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</si>
  <si>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</si>
  <si>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</si>
  <si>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</si>
  <si>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</si>
  <si>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</si>
  <si>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</si>
  <si>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</si>
  <si>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</si>
  <si>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</si>
  <si>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</si>
  <si>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</si>
  <si>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</si>
  <si>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</si>
  <si>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</si>
  <si>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Percentage</t>
  </si>
  <si>
    <t>Baruch Costs</t>
  </si>
  <si>
    <t>Overhead</t>
  </si>
  <si>
    <t>Profit</t>
  </si>
  <si>
    <t>NFP Discout</t>
  </si>
  <si>
    <t>Five minutes</t>
  </si>
  <si>
    <t>Fifteen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</si>
</sst>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0" fontId="0" fillId="0" borderId="0" xfId="0" applyAlignment="1">
      <alignment horizontal="center"/>
    </xf>
    <xf numFmtId="9" fontId="0" fillId="0" borderId="0" xfId="2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21">
    <dxf>
      <numFmt numFmtId="24" formatCode="h:mm:ss\ AM/PM"/>
    </dxf>
    <dxf>
      <numFmt numFmtId="24" formatCode="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20" dataCellStyle="Currency"/>
    <tableColumn id="4" name="StartDate" dataDxfId="19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Q2" totalsRowShown="0">
  <autoFilter ref="A1:Q2"/>
  <tableColumns count="17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8" totalsRowDxfId="17"/>
    <tableColumn id="2" name="Item"/>
    <tableColumn id="3" name="Quantity"/>
    <tableColumn id="4" name="Hours"/>
    <tableColumn id="5" name="Cost" totalsRowFunction="sum" totalsRowDxfId="16" dataCellStyle="Currency"/>
    <tableColumn id="7" name="Category" dataDxfId="15" totalsRowDxfId="14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3" dataCellStyle="Currency"/>
    <tableColumn id="2" name="Percentage" dataCellStyle="Percent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4" totalsRowShown="0">
  <autoFilter ref="D2:G4"/>
  <sortState ref="D3:G4">
    <sortCondition ref="D2:D4"/>
    <sortCondition ref="E2:E4"/>
  </sortState>
  <tableColumns count="4">
    <tableColumn id="1" name="Date"/>
    <tableColumn id="2" name="Start Time"/>
    <tableColumn id="3" name="End Time" dataDxfId="0"/>
    <tableColumn id="4" name="Event Item" dataDxfId="1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2" dataCellStyle="Currency"/>
    <tableColumn id="3" name="Frequency" dataDxfId="11" dataCellStyle="Currency"/>
    <tableColumn id="5" name="Category" dataDxfId="10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9" dataCellStyle="Currency"/>
    <tableColumn id="4" name="Category" dataDxfId="8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7"/>
    <tableColumn id="2" name="Cost" dataCellStyle="Currency"/>
    <tableColumn id="3" name="Frequency" dataDxfId="6" dataCellStyle="Currency"/>
    <tableColumn id="4" name="Category" dataDxfId="5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4" dataCellStyle="Currency"/>
    <tableColumn id="4" name="Category" dataDxfId="3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2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G12" sqref="G12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2" sqref="E2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"/>
  <sheetViews>
    <sheetView workbookViewId="0">
      <selection activeCell="A2" sqref="A2:XFD2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15.5703125" bestFit="1" customWidth="1"/>
    <col min="10" max="10" width="11.5703125" bestFit="1" customWidth="1"/>
    <col min="11" max="11" width="14.42578125" bestFit="1" customWidth="1"/>
    <col min="12" max="12" width="11.5703125" bestFit="1" customWidth="1"/>
    <col min="13" max="13" width="17.28515625" bestFit="1" customWidth="1"/>
    <col min="14" max="14" width="13.140625" bestFit="1" customWidth="1"/>
    <col min="15" max="15" width="12.7109375" bestFit="1" customWidth="1"/>
    <col min="16" max="17" width="18.28515625" bestFit="1" customWidth="1"/>
  </cols>
  <sheetData>
    <row r="1" spans="1:17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80</v>
      </c>
      <c r="J1" t="s">
        <v>102</v>
      </c>
      <c r="K1" t="s">
        <v>103</v>
      </c>
      <c r="L1" t="s">
        <v>105</v>
      </c>
      <c r="M1" t="s">
        <v>106</v>
      </c>
      <c r="N1" t="s">
        <v>104</v>
      </c>
      <c r="O1" t="s">
        <v>107</v>
      </c>
      <c r="P1" t="s">
        <v>108</v>
      </c>
      <c r="Q1" t="s">
        <v>109</v>
      </c>
    </row>
    <row r="2" spans="1:17" x14ac:dyDescent="0.25">
      <c r="I2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J12" sqref="J12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9.42578125" style="1" bestFit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78</v>
      </c>
      <c r="C1" t="s">
        <v>75</v>
      </c>
      <c r="D1" t="s">
        <v>76</v>
      </c>
      <c r="E1" t="s">
        <v>77</v>
      </c>
      <c r="F1" s="1" t="s">
        <v>39</v>
      </c>
      <c r="G1" s="1" t="s">
        <v>94</v>
      </c>
      <c r="I1" s="1" t="s">
        <v>81</v>
      </c>
      <c r="J1" t="s">
        <v>111</v>
      </c>
      <c r="K1" t="s">
        <v>82</v>
      </c>
      <c r="L1" t="s">
        <v>83</v>
      </c>
      <c r="M1" t="s">
        <v>84</v>
      </c>
      <c r="N1" s="1" t="s">
        <v>85</v>
      </c>
      <c r="O1"/>
    </row>
    <row r="2" spans="1:22" x14ac:dyDescent="0.25">
      <c r="B2" s="2"/>
      <c r="G2" s="7"/>
      <c r="I2" s="1" t="s">
        <v>112</v>
      </c>
      <c r="J2" s="12">
        <v>0.06</v>
      </c>
      <c r="N2" s="1">
        <v>0</v>
      </c>
      <c r="O2"/>
    </row>
    <row r="3" spans="1:22" x14ac:dyDescent="0.25">
      <c r="A3" t="s">
        <v>79</v>
      </c>
      <c r="B3" s="2"/>
      <c r="F3" s="8">
        <f>SUBTOTAL(109,costItems[Cost])</f>
        <v>0</v>
      </c>
      <c r="G3" s="8"/>
      <c r="I3" s="7" t="s">
        <v>113</v>
      </c>
      <c r="J3" s="12">
        <v>0.2</v>
      </c>
      <c r="N3" s="1">
        <v>0</v>
      </c>
      <c r="O3"/>
    </row>
    <row r="4" spans="1:22" x14ac:dyDescent="0.25">
      <c r="A4" s="2"/>
      <c r="B4" s="2"/>
      <c r="I4" s="7" t="s">
        <v>114</v>
      </c>
      <c r="J4" s="12">
        <v>0.2</v>
      </c>
      <c r="N4" s="1">
        <v>0</v>
      </c>
      <c r="O4"/>
    </row>
    <row r="5" spans="1:22" x14ac:dyDescent="0.25">
      <c r="A5" s="2"/>
      <c r="B5" s="2"/>
      <c r="H5" s="6"/>
      <c r="I5" s="7" t="s">
        <v>115</v>
      </c>
      <c r="J5" s="12">
        <v>0.15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4"/>
  <sheetViews>
    <sheetView workbookViewId="0">
      <selection activeCell="D3" sqref="D3:G4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86</v>
      </c>
      <c r="F2" t="s">
        <v>87</v>
      </c>
      <c r="G2" t="s">
        <v>88</v>
      </c>
    </row>
    <row r="3" spans="2:7" x14ac:dyDescent="0.25">
      <c r="B3" s="2"/>
      <c r="D3" s="2">
        <v>41938</v>
      </c>
      <c r="E3" s="9">
        <v>0.45833333333333331</v>
      </c>
      <c r="F3" s="9">
        <v>0.96180555555555547</v>
      </c>
      <c r="G3" s="9" t="s">
        <v>116</v>
      </c>
    </row>
    <row r="4" spans="2:7" x14ac:dyDescent="0.25">
      <c r="D4" s="2">
        <v>41938</v>
      </c>
      <c r="E4" s="9">
        <v>0.46180555555555558</v>
      </c>
      <c r="F4" s="9">
        <v>0.47222222222222227</v>
      </c>
      <c r="G4" s="9" t="s">
        <v>117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0"/>
  <sheetViews>
    <sheetView workbookViewId="0">
      <selection activeCell="Y5" sqref="Y5"/>
    </sheetView>
  </sheetViews>
  <sheetFormatPr defaultRowHeight="15" x14ac:dyDescent="0.25"/>
  <sheetData>
    <row r="1" spans="1:24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</row>
    <row r="2" spans="1:24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</row>
    <row r="3" spans="1:24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</row>
    <row r="4" spans="1:24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</row>
    <row r="5" spans="1:24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</row>
    <row r="6" spans="1:24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</row>
    <row r="7" spans="1:24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</row>
    <row r="8" spans="1:24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</row>
    <row r="9" spans="1:24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</row>
    <row r="10" spans="1:24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</row>
    <row r="11" spans="1:24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</row>
    <row r="12" spans="1:24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</row>
    <row r="13" spans="1:24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</row>
    <row r="14" spans="1:24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</row>
    <row r="15" spans="1:24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</row>
    <row r="16" spans="1:24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</row>
    <row r="17" spans="1:24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</row>
    <row r="18" spans="1:24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</row>
    <row r="19" spans="1:24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</row>
    <row r="20" spans="1:24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</row>
    <row r="21" spans="1:24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</row>
    <row r="22" spans="1:24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</row>
    <row r="23" spans="1:24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</row>
    <row r="24" spans="1:24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</row>
    <row r="25" spans="1:24" x14ac:dyDescent="0.25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</row>
    <row r="26" spans="1:24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</row>
    <row r="27" spans="1:24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</row>
    <row r="28" spans="1:24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</row>
    <row r="29" spans="1:24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</row>
    <row r="30" spans="1:24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</row>
  </sheetData>
  <mergeCells count="1">
    <mergeCell ref="A1:X3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5" t="s">
        <v>51</v>
      </c>
      <c r="B1" s="15"/>
      <c r="C1" s="4"/>
      <c r="D1" s="11"/>
      <c r="F1" s="15" t="s">
        <v>56</v>
      </c>
      <c r="G1" s="15"/>
      <c r="H1" s="4"/>
      <c r="I1" s="11"/>
      <c r="K1" s="15" t="s">
        <v>66</v>
      </c>
      <c r="L1" s="15"/>
    </row>
    <row r="2" spans="1:15" x14ac:dyDescent="0.25">
      <c r="A2" t="s">
        <v>38</v>
      </c>
      <c r="B2" t="s">
        <v>39</v>
      </c>
      <c r="C2" t="s">
        <v>70</v>
      </c>
      <c r="D2" t="s">
        <v>94</v>
      </c>
      <c r="F2" t="s">
        <v>38</v>
      </c>
      <c r="G2" t="s">
        <v>39</v>
      </c>
      <c r="H2" t="s">
        <v>70</v>
      </c>
      <c r="I2" t="s">
        <v>94</v>
      </c>
      <c r="K2" t="s">
        <v>38</v>
      </c>
      <c r="L2" t="s">
        <v>39</v>
      </c>
      <c r="M2" t="s">
        <v>70</v>
      </c>
      <c r="N2" t="s">
        <v>94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95</v>
      </c>
      <c r="E3" s="1"/>
      <c r="F3" s="3" t="s">
        <v>40</v>
      </c>
      <c r="G3" s="1">
        <v>25.41</v>
      </c>
      <c r="H3" s="1" t="s">
        <v>71</v>
      </c>
      <c r="I3" s="1" t="s">
        <v>95</v>
      </c>
      <c r="K3" t="s">
        <v>40</v>
      </c>
      <c r="L3" s="1">
        <v>25.41</v>
      </c>
      <c r="M3" t="s">
        <v>71</v>
      </c>
      <c r="N3" t="s">
        <v>95</v>
      </c>
    </row>
    <row r="4" spans="1:15" x14ac:dyDescent="0.25">
      <c r="A4" t="s">
        <v>93</v>
      </c>
      <c r="B4" s="1">
        <v>45</v>
      </c>
      <c r="C4" s="1" t="s">
        <v>71</v>
      </c>
      <c r="D4" s="1" t="s">
        <v>95</v>
      </c>
      <c r="E4" s="1"/>
      <c r="F4" s="3" t="s">
        <v>93</v>
      </c>
      <c r="G4" s="1">
        <v>45</v>
      </c>
      <c r="H4" s="1" t="s">
        <v>71</v>
      </c>
      <c r="I4" s="1" t="s">
        <v>95</v>
      </c>
      <c r="K4" t="s">
        <v>41</v>
      </c>
      <c r="L4" s="1">
        <v>22.42</v>
      </c>
      <c r="M4" t="s">
        <v>71</v>
      </c>
      <c r="N4" t="s">
        <v>96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96</v>
      </c>
      <c r="E5" s="1"/>
      <c r="F5" s="3" t="s">
        <v>41</v>
      </c>
      <c r="G5" s="1">
        <v>22.42</v>
      </c>
      <c r="H5" s="1" t="s">
        <v>71</v>
      </c>
      <c r="I5" s="1" t="s">
        <v>96</v>
      </c>
      <c r="K5" t="s">
        <v>42</v>
      </c>
      <c r="L5" s="1">
        <v>14.16</v>
      </c>
      <c r="M5" t="s">
        <v>71</v>
      </c>
      <c r="N5" t="s">
        <v>96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96</v>
      </c>
      <c r="E6" s="1"/>
      <c r="F6" s="3" t="s">
        <v>42</v>
      </c>
      <c r="G6" s="1">
        <v>14.16</v>
      </c>
      <c r="H6" s="1" t="s">
        <v>71</v>
      </c>
      <c r="I6" s="1" t="s">
        <v>96</v>
      </c>
      <c r="K6" t="s">
        <v>90</v>
      </c>
      <c r="L6" s="1">
        <v>5</v>
      </c>
      <c r="M6" t="s">
        <v>71</v>
      </c>
      <c r="N6" t="s">
        <v>96</v>
      </c>
      <c r="O6" s="2"/>
    </row>
    <row r="7" spans="1:15" x14ac:dyDescent="0.25">
      <c r="A7" t="s">
        <v>90</v>
      </c>
      <c r="B7" s="1">
        <v>5</v>
      </c>
      <c r="C7" s="1" t="s">
        <v>71</v>
      </c>
      <c r="D7" s="1" t="s">
        <v>96</v>
      </c>
      <c r="E7" s="1"/>
      <c r="F7" s="10" t="s">
        <v>90</v>
      </c>
      <c r="G7" s="1">
        <v>5</v>
      </c>
      <c r="H7" s="1" t="s">
        <v>71</v>
      </c>
      <c r="I7" s="1" t="s">
        <v>96</v>
      </c>
      <c r="K7" t="s">
        <v>43</v>
      </c>
      <c r="L7" s="1">
        <v>100</v>
      </c>
      <c r="M7" t="s">
        <v>72</v>
      </c>
      <c r="N7" t="s">
        <v>97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97</v>
      </c>
      <c r="E8" s="1"/>
      <c r="F8" s="5" t="s">
        <v>45</v>
      </c>
      <c r="G8" s="1">
        <v>320</v>
      </c>
      <c r="H8" s="1" t="s">
        <v>73</v>
      </c>
      <c r="I8" s="1" t="s">
        <v>95</v>
      </c>
      <c r="K8" t="s">
        <v>44</v>
      </c>
      <c r="L8" s="1">
        <v>100</v>
      </c>
      <c r="M8" t="s">
        <v>72</v>
      </c>
      <c r="N8" t="s">
        <v>98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98</v>
      </c>
      <c r="E9" s="1"/>
      <c r="F9" s="5" t="s">
        <v>57</v>
      </c>
      <c r="G9" s="1">
        <v>45</v>
      </c>
      <c r="H9" s="1" t="s">
        <v>71</v>
      </c>
      <c r="I9" s="1" t="s">
        <v>99</v>
      </c>
      <c r="K9" t="s">
        <v>89</v>
      </c>
      <c r="L9" s="1">
        <v>150</v>
      </c>
      <c r="M9" t="s">
        <v>71</v>
      </c>
      <c r="N9" t="s">
        <v>100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95</v>
      </c>
      <c r="E10" s="1"/>
      <c r="F10" s="5" t="s">
        <v>58</v>
      </c>
      <c r="G10" s="1">
        <v>31.34</v>
      </c>
      <c r="H10" s="1" t="s">
        <v>71</v>
      </c>
      <c r="I10" s="1" t="s">
        <v>99</v>
      </c>
      <c r="K10" s="15" t="s">
        <v>67</v>
      </c>
      <c r="L10" s="15"/>
    </row>
    <row r="11" spans="1:15" x14ac:dyDescent="0.25">
      <c r="A11" t="s">
        <v>46</v>
      </c>
      <c r="B11" s="1">
        <v>250</v>
      </c>
      <c r="C11" s="1" t="s">
        <v>73</v>
      </c>
      <c r="D11" s="1" t="s">
        <v>95</v>
      </c>
      <c r="E11" s="1"/>
      <c r="F11" s="5" t="s">
        <v>59</v>
      </c>
      <c r="G11" s="1">
        <v>73.819999999999993</v>
      </c>
      <c r="H11" s="1" t="s">
        <v>71</v>
      </c>
      <c r="I11" s="1" t="s">
        <v>99</v>
      </c>
      <c r="K11" t="s">
        <v>38</v>
      </c>
      <c r="L11" t="s">
        <v>39</v>
      </c>
      <c r="M11" t="s">
        <v>70</v>
      </c>
      <c r="N11" t="s">
        <v>94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95</v>
      </c>
      <c r="E12" s="1"/>
      <c r="F12" s="5" t="s">
        <v>46</v>
      </c>
      <c r="G12" s="1">
        <v>250</v>
      </c>
      <c r="H12" s="1" t="s">
        <v>73</v>
      </c>
      <c r="I12" s="1" t="s">
        <v>95</v>
      </c>
      <c r="K12" t="s">
        <v>40</v>
      </c>
      <c r="L12" s="1">
        <v>25.41</v>
      </c>
      <c r="M12" t="s">
        <v>71</v>
      </c>
      <c r="N12" t="s">
        <v>95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95</v>
      </c>
      <c r="E13" s="1"/>
      <c r="F13" s="5" t="s">
        <v>47</v>
      </c>
      <c r="G13" s="1">
        <v>120</v>
      </c>
      <c r="H13" s="1" t="s">
        <v>73</v>
      </c>
      <c r="I13" s="1" t="s">
        <v>95</v>
      </c>
      <c r="K13" t="s">
        <v>41</v>
      </c>
      <c r="L13" s="1">
        <v>22.42</v>
      </c>
      <c r="M13" t="s">
        <v>71</v>
      </c>
      <c r="N13" t="s">
        <v>96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95</v>
      </c>
      <c r="E14" s="1"/>
      <c r="F14" s="5" t="s">
        <v>48</v>
      </c>
      <c r="G14" s="1">
        <v>400</v>
      </c>
      <c r="H14" s="1" t="s">
        <v>73</v>
      </c>
      <c r="I14" s="1" t="s">
        <v>95</v>
      </c>
      <c r="K14" t="s">
        <v>42</v>
      </c>
      <c r="L14" s="1">
        <v>14.16</v>
      </c>
      <c r="M14" t="s">
        <v>71</v>
      </c>
      <c r="N14" t="s">
        <v>96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95</v>
      </c>
      <c r="E15" s="1"/>
      <c r="F15" s="5" t="s">
        <v>91</v>
      </c>
      <c r="G15" s="1">
        <v>75</v>
      </c>
      <c r="H15" s="1" t="s">
        <v>73</v>
      </c>
      <c r="I15" s="1" t="s">
        <v>95</v>
      </c>
      <c r="K15" t="s">
        <v>90</v>
      </c>
      <c r="L15" s="1">
        <v>5</v>
      </c>
      <c r="M15" t="s">
        <v>71</v>
      </c>
      <c r="N15" t="s">
        <v>96</v>
      </c>
    </row>
    <row r="16" spans="1:15" x14ac:dyDescent="0.25">
      <c r="F16" s="5" t="s">
        <v>92</v>
      </c>
      <c r="G16" s="1">
        <v>25</v>
      </c>
      <c r="H16" s="1" t="s">
        <v>73</v>
      </c>
      <c r="I16" s="1" t="s">
        <v>95</v>
      </c>
      <c r="K16" t="s">
        <v>43</v>
      </c>
      <c r="L16" s="1">
        <v>100</v>
      </c>
      <c r="M16" t="s">
        <v>72</v>
      </c>
      <c r="N16" t="s">
        <v>97</v>
      </c>
    </row>
    <row r="17" spans="1:14" x14ac:dyDescent="0.25">
      <c r="A17" s="15" t="s">
        <v>52</v>
      </c>
      <c r="B17" s="15"/>
      <c r="C17" s="4"/>
      <c r="D17" s="11"/>
      <c r="F17" s="5" t="s">
        <v>43</v>
      </c>
      <c r="G17" s="1">
        <v>100</v>
      </c>
      <c r="H17" s="1" t="s">
        <v>72</v>
      </c>
      <c r="I17" s="1" t="s">
        <v>97</v>
      </c>
      <c r="K17" t="s">
        <v>89</v>
      </c>
      <c r="L17" s="7">
        <v>35</v>
      </c>
      <c r="M17" t="s">
        <v>71</v>
      </c>
      <c r="N17" t="s">
        <v>100</v>
      </c>
    </row>
    <row r="18" spans="1:14" x14ac:dyDescent="0.25">
      <c r="A18" t="s">
        <v>38</v>
      </c>
      <c r="B18" t="s">
        <v>39</v>
      </c>
      <c r="C18" t="s">
        <v>70</v>
      </c>
      <c r="D18" t="s">
        <v>94</v>
      </c>
      <c r="F18" s="5" t="s">
        <v>63</v>
      </c>
      <c r="G18" s="1">
        <f>(600*0.8)</f>
        <v>480</v>
      </c>
      <c r="H18" s="1" t="s">
        <v>72</v>
      </c>
      <c r="I18" s="1" t="s">
        <v>98</v>
      </c>
      <c r="K18" s="15" t="s">
        <v>68</v>
      </c>
      <c r="L18" s="15"/>
    </row>
    <row r="19" spans="1:14" x14ac:dyDescent="0.25">
      <c r="A19" t="s">
        <v>40</v>
      </c>
      <c r="B19" s="1">
        <v>25.41</v>
      </c>
      <c r="C19" s="1" t="s">
        <v>71</v>
      </c>
      <c r="D19" s="1" t="s">
        <v>95</v>
      </c>
      <c r="F19" s="5" t="s">
        <v>60</v>
      </c>
      <c r="G19" s="1">
        <v>14.16</v>
      </c>
      <c r="H19" s="1" t="s">
        <v>71</v>
      </c>
      <c r="I19" s="1" t="s">
        <v>96</v>
      </c>
      <c r="K19" t="s">
        <v>38</v>
      </c>
      <c r="L19" t="s">
        <v>39</v>
      </c>
      <c r="M19" t="s">
        <v>70</v>
      </c>
      <c r="N19" t="s">
        <v>94</v>
      </c>
    </row>
    <row r="20" spans="1:14" x14ac:dyDescent="0.25">
      <c r="A20" t="s">
        <v>93</v>
      </c>
      <c r="B20" s="1">
        <v>45</v>
      </c>
      <c r="C20" s="1" t="s">
        <v>71</v>
      </c>
      <c r="D20" s="1" t="s">
        <v>95</v>
      </c>
      <c r="F20" s="5" t="s">
        <v>61</v>
      </c>
      <c r="G20" s="1">
        <v>45</v>
      </c>
      <c r="H20" s="1" t="s">
        <v>71</v>
      </c>
      <c r="I20" s="1" t="s">
        <v>99</v>
      </c>
      <c r="K20" t="s">
        <v>101</v>
      </c>
      <c r="L20" s="1">
        <v>21.42</v>
      </c>
      <c r="M20" t="s">
        <v>71</v>
      </c>
      <c r="N20" t="s">
        <v>96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96</v>
      </c>
      <c r="F21" s="5" t="s">
        <v>62</v>
      </c>
      <c r="G21" s="1">
        <v>31.34</v>
      </c>
      <c r="H21" s="1" t="s">
        <v>71</v>
      </c>
      <c r="I21" s="1" t="s">
        <v>99</v>
      </c>
      <c r="K21" t="s">
        <v>42</v>
      </c>
      <c r="L21" s="1">
        <v>14.16</v>
      </c>
      <c r="M21" t="s">
        <v>71</v>
      </c>
      <c r="N21" t="s">
        <v>96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96</v>
      </c>
      <c r="F22" s="5" t="s">
        <v>64</v>
      </c>
      <c r="G22" s="1">
        <f>(500*0.8)</f>
        <v>400</v>
      </c>
      <c r="H22" s="1" t="s">
        <v>71</v>
      </c>
      <c r="I22" s="1" t="s">
        <v>98</v>
      </c>
      <c r="K22" t="s">
        <v>90</v>
      </c>
      <c r="L22" s="1">
        <v>5</v>
      </c>
      <c r="M22" t="s">
        <v>71</v>
      </c>
      <c r="N22" t="s">
        <v>96</v>
      </c>
    </row>
    <row r="23" spans="1:14" x14ac:dyDescent="0.25">
      <c r="A23" t="s">
        <v>90</v>
      </c>
      <c r="B23" s="1">
        <v>5</v>
      </c>
      <c r="C23" s="1" t="s">
        <v>71</v>
      </c>
      <c r="D23" s="1" t="s">
        <v>96</v>
      </c>
      <c r="K23" t="s">
        <v>89</v>
      </c>
      <c r="L23" s="1">
        <v>10</v>
      </c>
      <c r="M23" t="s">
        <v>71</v>
      </c>
      <c r="N23" t="s">
        <v>100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97</v>
      </c>
      <c r="F24" s="15" t="s">
        <v>65</v>
      </c>
      <c r="G24" s="15"/>
      <c r="H24" s="4"/>
      <c r="I24" s="11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98</v>
      </c>
      <c r="F25" t="s">
        <v>38</v>
      </c>
      <c r="G25" t="s">
        <v>39</v>
      </c>
      <c r="H25" t="s">
        <v>70</v>
      </c>
      <c r="I25" t="s">
        <v>94</v>
      </c>
      <c r="K25" s="15" t="s">
        <v>69</v>
      </c>
      <c r="L25" s="15"/>
    </row>
    <row r="26" spans="1:14" x14ac:dyDescent="0.25">
      <c r="A26" t="s">
        <v>45</v>
      </c>
      <c r="B26" s="1">
        <v>320</v>
      </c>
      <c r="C26" s="1" t="s">
        <v>73</v>
      </c>
      <c r="D26" s="1" t="s">
        <v>95</v>
      </c>
      <c r="F26" t="s">
        <v>40</v>
      </c>
      <c r="G26" s="1">
        <v>25.41</v>
      </c>
      <c r="H26" s="1" t="s">
        <v>71</v>
      </c>
      <c r="I26" s="1" t="s">
        <v>95</v>
      </c>
      <c r="K26" t="s">
        <v>38</v>
      </c>
      <c r="L26" t="s">
        <v>39</v>
      </c>
      <c r="M26" t="s">
        <v>70</v>
      </c>
      <c r="N26" t="s">
        <v>94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95</v>
      </c>
      <c r="F27" t="s">
        <v>41</v>
      </c>
      <c r="G27" s="1">
        <v>22.42</v>
      </c>
      <c r="H27" s="1" t="s">
        <v>71</v>
      </c>
      <c r="I27" s="1" t="s">
        <v>95</v>
      </c>
      <c r="K27" t="s">
        <v>101</v>
      </c>
      <c r="L27" s="1">
        <v>21.42</v>
      </c>
      <c r="M27" t="s">
        <v>71</v>
      </c>
      <c r="N27" t="s">
        <v>96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95</v>
      </c>
      <c r="F28" t="s">
        <v>42</v>
      </c>
      <c r="G28" s="1">
        <v>14.16</v>
      </c>
      <c r="H28" s="1" t="s">
        <v>71</v>
      </c>
      <c r="I28" s="1" t="s">
        <v>96</v>
      </c>
      <c r="K28" t="s">
        <v>42</v>
      </c>
      <c r="L28" s="1">
        <v>14.16</v>
      </c>
      <c r="M28" t="s">
        <v>71</v>
      </c>
      <c r="N28" t="s">
        <v>96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95</v>
      </c>
      <c r="F29" t="s">
        <v>90</v>
      </c>
      <c r="G29" s="1">
        <v>5</v>
      </c>
      <c r="H29" s="1" t="s">
        <v>71</v>
      </c>
      <c r="I29" s="1" t="s">
        <v>96</v>
      </c>
      <c r="K29" t="s">
        <v>90</v>
      </c>
      <c r="L29" s="1">
        <v>5</v>
      </c>
      <c r="M29" t="s">
        <v>71</v>
      </c>
      <c r="N29" t="s">
        <v>96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95</v>
      </c>
      <c r="F30" t="s">
        <v>43</v>
      </c>
      <c r="G30" s="1">
        <v>100</v>
      </c>
      <c r="H30" s="1" t="s">
        <v>72</v>
      </c>
      <c r="I30" s="1" t="s">
        <v>97</v>
      </c>
      <c r="K30" t="s">
        <v>89</v>
      </c>
      <c r="L30" s="1">
        <v>25</v>
      </c>
      <c r="M30" t="s">
        <v>71</v>
      </c>
      <c r="N30" t="s">
        <v>100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95</v>
      </c>
      <c r="F31" t="s">
        <v>44</v>
      </c>
      <c r="G31" s="1">
        <f>(75*0.8)</f>
        <v>60</v>
      </c>
      <c r="H31" s="1" t="s">
        <v>72</v>
      </c>
      <c r="I31" s="1" t="s">
        <v>98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Venues</vt:lpstr>
      <vt:lpstr>OverviewSheet</vt:lpstr>
      <vt:lpstr>Event Costs</vt:lpstr>
      <vt:lpstr>Schedule</vt:lpstr>
      <vt:lpstr>Post-Mortem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2014-10-27T01:59:16Z</dcterms:modified>
</cp:coreProperties>
</file>